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.balderrama\Desktop\Samuel Balderrama Escapite\PLANEACION COMERCIO EXTERIOR 2024-2025-2026\PROYECTO ESTRATEGICO 2026\Herramienta de Calculo Costo Logistico 26\"/>
    </mc:Choice>
  </mc:AlternateContent>
  <xr:revisionPtr revIDLastSave="0" documentId="13_ncr:1_{509DCB6B-B7C6-42B7-936F-07B98F99E4FB}" xr6:coauthVersionLast="47" xr6:coauthVersionMax="47" xr10:uidLastSave="{00000000-0000-0000-0000-000000000000}"/>
  <bookViews>
    <workbookView xWindow="-20760" yWindow="3090" windowWidth="17280" windowHeight="8880" tabRatio="833" activeTab="5" xr2:uid="{446D1577-BA6E-4799-BF4A-93959EE2FB92}"/>
  </bookViews>
  <sheets>
    <sheet name="Proveedor, Mercancia" sheetId="8" r:id="rId1"/>
    <sheet name="Fraccion Arancelaria" sheetId="6" r:id="rId2"/>
    <sheet name="Bodega, Recinto, A.A." sheetId="14" r:id="rId3"/>
    <sheet name="Sucursal, Aduana, Proveedor" sheetId="7" r:id="rId4"/>
    <sheet name="Fletes Impo" sheetId="13" r:id="rId5"/>
    <sheet name="Fletes Proveedor" sheetId="9" r:id="rId6"/>
    <sheet name="GUIALOG" sheetId="3" r:id="rId7"/>
    <sheet name="NOTAS" sheetId="11" state="hidden" r:id="rId8"/>
  </sheets>
  <externalReferences>
    <externalReference r:id="rId9"/>
  </externalReferences>
  <definedNames>
    <definedName name="_xlnm._FilterDatabase" localSheetId="1" hidden="1">'Fraccion Arancelaria'!$A$9:$G$54</definedName>
    <definedName name="_xlnm._FilterDatabase" localSheetId="6" hidden="1">GUIALOG!#REF!</definedName>
    <definedName name="_FPD">#REF!</definedName>
    <definedName name="aa" localSheetId="2">'[1]Base datos tarifas'!#REF!</definedName>
    <definedName name="aa" localSheetId="4">'[1]Base datos tarifas'!#REF!</definedName>
    <definedName name="aa" localSheetId="5">'[1]Base datos tarifas'!#REF!</definedName>
    <definedName name="aa">'[1]Base datos tarifas'!#REF!</definedName>
    <definedName name="AccessDataLookup">#REF!</definedName>
    <definedName name="ACP">#REF!</definedName>
    <definedName name="ADUANAS">'Sucursal, Aduana, Proveedor'!$E$6:$E$18</definedName>
    <definedName name="AEREA">'Sucursal, Aduana, Proveedor'!$F$15:$F$18</definedName>
    <definedName name="_xlnm.Print_Area" localSheetId="6">GUIALOG!$A$1:$M$182</definedName>
    <definedName name="BDP">#REF!,#REF!,#REF!</definedName>
    <definedName name="CDMX">'Sucursal, Aduana, Proveedor'!$H$89:$H$98</definedName>
    <definedName name="CDP">#REF!</definedName>
    <definedName name="CDU">#REF!,#REF!,#REF!</definedName>
    <definedName name="CHIHUAHUA">'Sucursal, Aduana, Proveedor'!$C$89:$C$98</definedName>
    <definedName name="CLASEADUANA">'Sucursal, Aduana, Proveedor'!$F$6:$F$8</definedName>
    <definedName name="COMPOS">#REF!</definedName>
    <definedName name="CON">#REF!</definedName>
    <definedName name="CP">#REF!</definedName>
    <definedName name="DEDP">#REF!</definedName>
    <definedName name="DORNER">'Proveedor, Mercancia'!$B$6:$B$13</definedName>
    <definedName name="FDP">#REF!</definedName>
    <definedName name="FDPP">#REF!</definedName>
    <definedName name="FP">#REF!</definedName>
    <definedName name="FPD">#REF!</definedName>
    <definedName name="FRONTERIZA">'Sucursal, Aduana, Proveedor'!$F$10:$F$13</definedName>
    <definedName name="GAS">#REF!</definedName>
    <definedName name="HERMOSILLO">'Sucursal, Aduana, Proveedor'!$K$89:$K$98</definedName>
    <definedName name="HYTROL">'Proveedor, Mercancia'!$C$6:$C$13</definedName>
    <definedName name="IF">#REF!</definedName>
    <definedName name="IM">#REF!</definedName>
    <definedName name="Importacionaerea" localSheetId="2">'[1]Base datos tarifas'!#REF!</definedName>
    <definedName name="Importacionaerea" localSheetId="4">'[1]Base datos tarifas'!#REF!</definedName>
    <definedName name="Importacionaerea" localSheetId="5">'[1]Base datos tarifas'!#REF!</definedName>
    <definedName name="Importacionaerea">'[1]Base datos tarifas'!#REF!</definedName>
    <definedName name="INTECHMOTION">'Proveedor, Mercancia'!$G$6:$G$13</definedName>
    <definedName name="INV">#REF!</definedName>
    <definedName name="JUAREZ">'Sucursal, Aduana, Proveedor'!$D$89:$D$98</definedName>
    <definedName name="M">#REF!</definedName>
    <definedName name="maintable">#REF!</definedName>
    <definedName name="MARITIMA">'Sucursal, Aduana, Proveedor'!$F$20:$F$21</definedName>
    <definedName name="MEXICALI">'Sucursal, Aduana, Proveedor'!$L$89:$L$98</definedName>
    <definedName name="MIR">'Proveedor, Mercancia'!$E$6:$E$13</definedName>
    <definedName name="MONTERREY">'Sucursal, Aduana, Proveedor'!$G$89:$G$98</definedName>
    <definedName name="MTY" localSheetId="2">'[1]Base datos tarifas'!#REF!</definedName>
    <definedName name="MTY" localSheetId="4">'[1]Base datos tarifas'!#REF!</definedName>
    <definedName name="MTY" localSheetId="5">'[1]Base datos tarifas'!#REF!</definedName>
    <definedName name="MTY">'[1]Base datos tarifas'!#REF!</definedName>
    <definedName name="NOGALES">'Sucursal, Aduana, Proveedor'!$J$89:$J$98</definedName>
    <definedName name="noooo" localSheetId="2">'[1]Base datos tarifas'!#REF!</definedName>
    <definedName name="noooo" localSheetId="4">'[1]Base datos tarifas'!#REF!</definedName>
    <definedName name="noooo" localSheetId="5">'[1]Base datos tarifas'!#REF!</definedName>
    <definedName name="noooo">'[1]Base datos tarifas'!#REF!</definedName>
    <definedName name="OFP">#REF!</definedName>
    <definedName name="P">#REF!</definedName>
    <definedName name="Proveedor" localSheetId="2">'[1]Base datos tarifas'!#REF!</definedName>
    <definedName name="Proveedor" localSheetId="4">'[1]Base datos tarifas'!#REF!</definedName>
    <definedName name="Proveedor" localSheetId="5">'[1]Base datos tarifas'!#REF!</definedName>
    <definedName name="Proveedor">'[1]Base datos tarifas'!#REF!</definedName>
    <definedName name="PROVEEDORES">'Proveedor, Mercancia'!$A$6:$A$30</definedName>
    <definedName name="PUEBLA">'Sucursal, Aduana, Proveedor'!$I$89:$I$98</definedName>
    <definedName name="RANGOPESO">'Fletes Proveedor'!$A$41:$A$86</definedName>
    <definedName name="REG">#REF!</definedName>
    <definedName name="RF">#REF!</definedName>
    <definedName name="RM">#REF!</definedName>
    <definedName name="SALTILLO">'Sucursal, Aduana, Proveedor'!$E$89:$E$98</definedName>
    <definedName name="SanDiegp" localSheetId="2">'[1]Base datos tarifas'!#REF!</definedName>
    <definedName name="SanDiegp" localSheetId="4">'[1]Base datos tarifas'!#REF!</definedName>
    <definedName name="SanDiegp" localSheetId="5">'[1]Base datos tarifas'!#REF!</definedName>
    <definedName name="SanDiegp">'[1]Base datos tarifas'!#REF!</definedName>
    <definedName name="SOUTHWORTH">'Proveedor, Mercancia'!$D$6:$D$13</definedName>
    <definedName name="SUCURSALES">'Sucursal, Aduana, Proveedor'!$A$6:$A$17</definedName>
    <definedName name="TCFDI">#REF!</definedName>
    <definedName name="TD">#REF!</definedName>
    <definedName name="TDC">#REF!</definedName>
    <definedName name="TDD">#REF!</definedName>
    <definedName name="Tijuana" localSheetId="2">'[1]Base datos tarifas'!#REF!</definedName>
    <definedName name="Tijuana" localSheetId="4">'[1]Base datos tarifas'!#REF!</definedName>
    <definedName name="Tijuana" localSheetId="5">'[1]Base datos tarifas'!#REF!</definedName>
    <definedName name="TIJUANA">'Sucursal, Aduana, Proveedor'!$M$89:$M$98</definedName>
    <definedName name="TijuanaAereo" localSheetId="2">'[1]Base datos tarifas'!#REF!</definedName>
    <definedName name="TijuanaAereo" localSheetId="4">'[1]Base datos tarifas'!#REF!</definedName>
    <definedName name="TijuanaAereo" localSheetId="5">'[1]Base datos tarifas'!#REF!</definedName>
    <definedName name="TijuanaAereo">'[1]Base datos tarifas'!#REF!</definedName>
    <definedName name="TORREON">'Sucursal, Aduana, Proveedor'!$F$89:$F$98</definedName>
    <definedName name="U" localSheetId="2">'[1]Base datos tarifas'!#REF!</definedName>
    <definedName name="U" localSheetId="4">'[1]Base datos tarifas'!#REF!</definedName>
    <definedName name="U" localSheetId="5">'[1]Base datos tarifas'!#REF!</definedName>
    <definedName name="U">'[1]Base datos tarifas'!#REF!</definedName>
    <definedName name="UC">#REF!</definedName>
    <definedName name="UDC">#REF!</definedName>
    <definedName name="UDM">#REF!</definedName>
    <definedName name="UM">#REF!</definedName>
    <definedName name="UR">'Proveedor, Mercancia'!$F$6:$F$13</definedName>
    <definedName name="US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3" l="1"/>
  <c r="P38" i="3"/>
  <c r="T34" i="3" s="1"/>
  <c r="F177" i="9"/>
  <c r="F178" i="9"/>
  <c r="F179" i="9"/>
  <c r="F180" i="9"/>
  <c r="F181" i="9"/>
  <c r="F182" i="9"/>
  <c r="F183" i="9"/>
  <c r="F184" i="9"/>
  <c r="F185" i="9"/>
  <c r="F186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E111" i="9"/>
  <c r="F111" i="9"/>
  <c r="D111" i="9"/>
  <c r="T39" i="3" l="1"/>
  <c r="T36" i="3"/>
  <c r="D186" i="9"/>
  <c r="D185" i="9"/>
  <c r="D184" i="9"/>
  <c r="D183" i="9"/>
  <c r="D182" i="9"/>
  <c r="D181" i="9"/>
  <c r="D180" i="9"/>
  <c r="D179" i="9"/>
  <c r="D178" i="9"/>
  <c r="D177" i="9"/>
  <c r="E186" i="9"/>
  <c r="E185" i="9"/>
  <c r="E184" i="9"/>
  <c r="E183" i="9"/>
  <c r="E182" i="9"/>
  <c r="E181" i="9"/>
  <c r="E180" i="9"/>
  <c r="E179" i="9"/>
  <c r="E178" i="9"/>
  <c r="E177" i="9"/>
  <c r="D127" i="9"/>
  <c r="D212" i="9"/>
  <c r="E212" i="9"/>
  <c r="F212" i="9"/>
  <c r="G212" i="9"/>
  <c r="H212" i="9"/>
  <c r="I212" i="9"/>
  <c r="D213" i="9"/>
  <c r="E213" i="9"/>
  <c r="F213" i="9"/>
  <c r="G213" i="9"/>
  <c r="H213" i="9"/>
  <c r="I213" i="9"/>
  <c r="D214" i="9"/>
  <c r="E214" i="9"/>
  <c r="F214" i="9"/>
  <c r="G214" i="9"/>
  <c r="H214" i="9"/>
  <c r="I214" i="9"/>
  <c r="D215" i="9"/>
  <c r="E215" i="9"/>
  <c r="F215" i="9"/>
  <c r="G215" i="9"/>
  <c r="H215" i="9"/>
  <c r="I215" i="9"/>
  <c r="D216" i="9"/>
  <c r="E216" i="9"/>
  <c r="F216" i="9"/>
  <c r="G216" i="9"/>
  <c r="H216" i="9"/>
  <c r="I216" i="9"/>
  <c r="D217" i="9"/>
  <c r="E217" i="9"/>
  <c r="F217" i="9"/>
  <c r="G217" i="9"/>
  <c r="H217" i="9"/>
  <c r="I217" i="9"/>
  <c r="D218" i="9"/>
  <c r="E218" i="9"/>
  <c r="F218" i="9"/>
  <c r="G218" i="9"/>
  <c r="H218" i="9"/>
  <c r="I218" i="9"/>
  <c r="D219" i="9"/>
  <c r="E219" i="9"/>
  <c r="F219" i="9"/>
  <c r="G219" i="9"/>
  <c r="H219" i="9"/>
  <c r="I219" i="9"/>
  <c r="D220" i="9"/>
  <c r="E220" i="9"/>
  <c r="F220" i="9"/>
  <c r="G220" i="9"/>
  <c r="H220" i="9"/>
  <c r="I220" i="9"/>
  <c r="D221" i="9"/>
  <c r="E221" i="9"/>
  <c r="F221" i="9"/>
  <c r="G221" i="9"/>
  <c r="H221" i="9"/>
  <c r="I221" i="9"/>
  <c r="D222" i="9"/>
  <c r="E222" i="9"/>
  <c r="F222" i="9"/>
  <c r="G222" i="9"/>
  <c r="H222" i="9"/>
  <c r="I222" i="9"/>
  <c r="D223" i="9"/>
  <c r="E223" i="9"/>
  <c r="F223" i="9"/>
  <c r="G223" i="9"/>
  <c r="H223" i="9"/>
  <c r="I223" i="9"/>
  <c r="D224" i="9"/>
  <c r="E224" i="9"/>
  <c r="F224" i="9"/>
  <c r="G224" i="9"/>
  <c r="H224" i="9"/>
  <c r="I224" i="9"/>
  <c r="D225" i="9"/>
  <c r="E225" i="9"/>
  <c r="F225" i="9"/>
  <c r="G225" i="9"/>
  <c r="H225" i="9"/>
  <c r="I225" i="9"/>
  <c r="D226" i="9"/>
  <c r="E226" i="9"/>
  <c r="F226" i="9"/>
  <c r="G226" i="9"/>
  <c r="H226" i="9"/>
  <c r="I226" i="9"/>
  <c r="E211" i="9"/>
  <c r="F211" i="9"/>
  <c r="G211" i="9"/>
  <c r="H211" i="9"/>
  <c r="I211" i="9"/>
  <c r="D211" i="9"/>
  <c r="P85" i="3"/>
  <c r="P89" i="3"/>
  <c r="C98" i="14"/>
  <c r="H98" i="14"/>
  <c r="I98" i="14"/>
  <c r="C99" i="14"/>
  <c r="H99" i="14"/>
  <c r="C100" i="14"/>
  <c r="H100" i="14"/>
  <c r="C101" i="14"/>
  <c r="H101" i="14"/>
  <c r="C102" i="14"/>
  <c r="H102" i="14"/>
  <c r="C103" i="14"/>
  <c r="H103" i="14"/>
  <c r="C104" i="14"/>
  <c r="H104" i="14"/>
  <c r="C105" i="14"/>
  <c r="H105" i="14"/>
  <c r="C106" i="14"/>
  <c r="H106" i="14"/>
  <c r="C107" i="14"/>
  <c r="H107" i="14"/>
  <c r="C108" i="14"/>
  <c r="H108" i="14"/>
  <c r="C109" i="14"/>
  <c r="H109" i="14"/>
  <c r="C110" i="14"/>
  <c r="H110" i="14"/>
  <c r="C111" i="14"/>
  <c r="H111" i="14"/>
  <c r="C112" i="14"/>
  <c r="H112" i="14"/>
  <c r="C113" i="14"/>
  <c r="H113" i="14"/>
  <c r="C114" i="14"/>
  <c r="H114" i="14"/>
  <c r="C115" i="14"/>
  <c r="H115" i="14"/>
  <c r="C116" i="14"/>
  <c r="H116" i="14"/>
  <c r="C117" i="14"/>
  <c r="H117" i="14"/>
  <c r="C118" i="14"/>
  <c r="H118" i="14"/>
  <c r="C119" i="14"/>
  <c r="H119" i="14"/>
  <c r="C120" i="14"/>
  <c r="H120" i="14"/>
  <c r="C121" i="14"/>
  <c r="H121" i="14"/>
  <c r="C122" i="14"/>
  <c r="H122" i="14"/>
  <c r="C123" i="14"/>
  <c r="H123" i="14"/>
  <c r="C132" i="14"/>
  <c r="D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B196" i="14"/>
  <c r="C196" i="14"/>
  <c r="D196" i="14"/>
  <c r="E196" i="14"/>
  <c r="F196" i="14"/>
  <c r="G196" i="14"/>
  <c r="H196" i="14"/>
  <c r="I196" i="14"/>
  <c r="J196" i="14"/>
  <c r="L196" i="14"/>
  <c r="B197" i="14"/>
  <c r="C197" i="14"/>
  <c r="D197" i="14"/>
  <c r="E197" i="14"/>
  <c r="F197" i="14"/>
  <c r="G197" i="14"/>
  <c r="H197" i="14"/>
  <c r="I197" i="14"/>
  <c r="J197" i="14"/>
  <c r="L197" i="14"/>
  <c r="B198" i="14"/>
  <c r="C198" i="14"/>
  <c r="D198" i="14"/>
  <c r="E198" i="14"/>
  <c r="F198" i="14"/>
  <c r="G198" i="14"/>
  <c r="H198" i="14"/>
  <c r="I198" i="14"/>
  <c r="J198" i="14"/>
  <c r="L198" i="14"/>
  <c r="B199" i="14"/>
  <c r="C199" i="14"/>
  <c r="D199" i="14"/>
  <c r="E199" i="14"/>
  <c r="F199" i="14"/>
  <c r="G199" i="14"/>
  <c r="H199" i="14"/>
  <c r="I199" i="14"/>
  <c r="J199" i="14"/>
  <c r="L199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P87" i="3" l="1"/>
  <c r="C30" i="7"/>
  <c r="C39" i="7"/>
  <c r="T40" i="3"/>
  <c r="C103" i="9"/>
  <c r="P86" i="3" l="1"/>
  <c r="S86" i="3"/>
  <c r="T41" i="3" l="1"/>
  <c r="C45" i="7" l="1"/>
  <c r="D45" i="7"/>
  <c r="D39" i="7"/>
  <c r="D40" i="7"/>
  <c r="D41" i="7"/>
  <c r="C40" i="7"/>
  <c r="C41" i="7"/>
  <c r="M45" i="7" l="1"/>
  <c r="K45" i="7"/>
  <c r="J45" i="7"/>
  <c r="I45" i="7"/>
  <c r="H45" i="7"/>
  <c r="G45" i="7"/>
  <c r="F45" i="7"/>
  <c r="E45" i="7"/>
  <c r="M44" i="7"/>
  <c r="K44" i="7"/>
  <c r="J44" i="7"/>
  <c r="I44" i="7"/>
  <c r="H44" i="7"/>
  <c r="G44" i="7"/>
  <c r="F44" i="7"/>
  <c r="E44" i="7"/>
  <c r="D44" i="7"/>
  <c r="C44" i="7"/>
  <c r="M43" i="7"/>
  <c r="K43" i="7"/>
  <c r="J43" i="7"/>
  <c r="I43" i="7"/>
  <c r="H43" i="7"/>
  <c r="G43" i="7"/>
  <c r="F43" i="7"/>
  <c r="E43" i="7"/>
  <c r="D43" i="7"/>
  <c r="C43" i="7"/>
  <c r="M42" i="7"/>
  <c r="K42" i="7"/>
  <c r="J42" i="7"/>
  <c r="I42" i="7"/>
  <c r="H42" i="7"/>
  <c r="G42" i="7"/>
  <c r="F42" i="7"/>
  <c r="E42" i="7"/>
  <c r="D42" i="7"/>
  <c r="C42" i="7"/>
  <c r="M41" i="7"/>
  <c r="K41" i="7"/>
  <c r="J41" i="7"/>
  <c r="I41" i="7"/>
  <c r="H41" i="7"/>
  <c r="G41" i="7"/>
  <c r="F41" i="7"/>
  <c r="E41" i="7"/>
  <c r="M40" i="7"/>
  <c r="K40" i="7"/>
  <c r="J40" i="7"/>
  <c r="I40" i="7"/>
  <c r="H40" i="7"/>
  <c r="G40" i="7"/>
  <c r="F40" i="7"/>
  <c r="E40" i="7"/>
  <c r="M39" i="7"/>
  <c r="K39" i="7"/>
  <c r="J39" i="7"/>
  <c r="I39" i="7"/>
  <c r="H39" i="7"/>
  <c r="G39" i="7"/>
  <c r="F39" i="7"/>
  <c r="E39" i="7"/>
  <c r="C129" i="9" l="1"/>
  <c r="C130" i="9"/>
  <c r="C131" i="9"/>
  <c r="C132" i="9"/>
  <c r="F128" i="9"/>
  <c r="E128" i="9"/>
  <c r="D128" i="9"/>
  <c r="E127" i="9"/>
  <c r="F127" i="9"/>
  <c r="E38" i="14" l="1"/>
  <c r="D38" i="14"/>
  <c r="C38" i="14"/>
  <c r="E37" i="14"/>
  <c r="D37" i="14"/>
  <c r="C37" i="14"/>
  <c r="C198" i="9" l="1"/>
  <c r="C197" i="9"/>
  <c r="C174" i="9"/>
  <c r="C173" i="9"/>
  <c r="C172" i="9"/>
  <c r="C171" i="9"/>
  <c r="C170" i="9"/>
  <c r="C169" i="9"/>
  <c r="C168" i="9"/>
  <c r="C167" i="9"/>
  <c r="C163" i="9"/>
  <c r="C162" i="9"/>
  <c r="C161" i="9"/>
  <c r="C160" i="9"/>
  <c r="C159" i="9"/>
  <c r="C158" i="9"/>
  <c r="C157" i="9"/>
  <c r="C156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2" i="9"/>
  <c r="C101" i="9"/>
  <c r="C100" i="9"/>
  <c r="C99" i="9"/>
  <c r="C98" i="9"/>
  <c r="C97" i="9"/>
  <c r="C96" i="9"/>
  <c r="C95" i="9"/>
  <c r="S87" i="3" l="1"/>
  <c r="P57" i="3"/>
  <c r="P138" i="3" s="1"/>
  <c r="J133" i="3" s="1"/>
  <c r="T51" i="3" l="1"/>
  <c r="C67" i="14" l="1"/>
  <c r="C69" i="14" s="1"/>
  <c r="P39" i="3" l="1"/>
  <c r="P35" i="3"/>
  <c r="S80" i="3" s="1"/>
  <c r="J77" i="3" s="1"/>
  <c r="P34" i="3"/>
  <c r="P36" i="3"/>
  <c r="P53" i="3" s="1"/>
  <c r="C315" i="14"/>
  <c r="C320" i="14" s="1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I45" i="13"/>
  <c r="H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45" i="13"/>
  <c r="P82" i="3" l="1"/>
  <c r="J51" i="3"/>
  <c r="C319" i="14"/>
  <c r="C317" i="14"/>
  <c r="C318" i="14"/>
  <c r="C316" i="14"/>
  <c r="C201" i="13" l="1"/>
  <c r="C203" i="13" s="1"/>
  <c r="P88" i="3"/>
  <c r="P90" i="3" s="1"/>
  <c r="S89" i="3" l="1"/>
  <c r="S93" i="3" s="1"/>
  <c r="C7" i="9"/>
  <c r="C6" i="14"/>
  <c r="B7" i="9"/>
  <c r="B8" i="13"/>
  <c r="B6" i="14"/>
  <c r="C8" i="13"/>
  <c r="S90" i="3"/>
  <c r="S88" i="3" s="1"/>
  <c r="P112" i="3"/>
  <c r="C204" i="13"/>
  <c r="C205" i="13"/>
  <c r="C202" i="13"/>
  <c r="C206" i="13"/>
  <c r="G96" i="9" l="1"/>
  <c r="G97" i="9"/>
  <c r="G98" i="9"/>
  <c r="G102" i="9"/>
  <c r="G106" i="9"/>
  <c r="G110" i="9"/>
  <c r="G99" i="9"/>
  <c r="G103" i="9"/>
  <c r="G107" i="9"/>
  <c r="G95" i="9"/>
  <c r="G100" i="9"/>
  <c r="G104" i="9"/>
  <c r="G108" i="9"/>
  <c r="G101" i="9"/>
  <c r="G105" i="9"/>
  <c r="G109" i="9"/>
  <c r="G33" i="14"/>
  <c r="E16" i="14" s="1"/>
  <c r="G37" i="14"/>
  <c r="E20" i="14" s="1"/>
  <c r="G30" i="14"/>
  <c r="E13" i="14" s="1"/>
  <c r="G34" i="14"/>
  <c r="E17" i="14" s="1"/>
  <c r="G38" i="14"/>
  <c r="E21" i="14" s="1"/>
  <c r="G31" i="14"/>
  <c r="E14" i="14" s="1"/>
  <c r="G35" i="14"/>
  <c r="E18" i="14" s="1"/>
  <c r="G32" i="14"/>
  <c r="E15" i="14" s="1"/>
  <c r="G36" i="14"/>
  <c r="E19" i="14" s="1"/>
  <c r="G29" i="14"/>
  <c r="E12" i="14" s="1"/>
  <c r="F172" i="9"/>
  <c r="F168" i="9"/>
  <c r="E169" i="9"/>
  <c r="E121" i="9" s="1"/>
  <c r="F121" i="9" s="1"/>
  <c r="E173" i="9"/>
  <c r="E125" i="9" s="1"/>
  <c r="F125" i="9" s="1"/>
  <c r="F169" i="9"/>
  <c r="F171" i="9"/>
  <c r="F167" i="9"/>
  <c r="E170" i="9"/>
  <c r="E122" i="9" s="1"/>
  <c r="F122" i="9" s="1"/>
  <c r="E174" i="9"/>
  <c r="E126" i="9" s="1"/>
  <c r="F126" i="9" s="1"/>
  <c r="E172" i="9"/>
  <c r="E124" i="9" s="1"/>
  <c r="F124" i="9" s="1"/>
  <c r="F174" i="9"/>
  <c r="F170" i="9"/>
  <c r="D167" i="9"/>
  <c r="D119" i="9" s="1"/>
  <c r="E171" i="9"/>
  <c r="E123" i="9" s="1"/>
  <c r="F123" i="9" s="1"/>
  <c r="E167" i="9"/>
  <c r="E119" i="9" s="1"/>
  <c r="F119" i="9" s="1"/>
  <c r="F173" i="9"/>
  <c r="E168" i="9"/>
  <c r="E120" i="9" s="1"/>
  <c r="F120" i="9" s="1"/>
  <c r="D169" i="9"/>
  <c r="D121" i="9" s="1"/>
  <c r="D173" i="9"/>
  <c r="D125" i="9" s="1"/>
  <c r="D171" i="9"/>
  <c r="D123" i="9" s="1"/>
  <c r="D168" i="9"/>
  <c r="D120" i="9" s="1"/>
  <c r="D170" i="9"/>
  <c r="D122" i="9" s="1"/>
  <c r="D174" i="9"/>
  <c r="D126" i="9" s="1"/>
  <c r="D172" i="9"/>
  <c r="D124" i="9" s="1"/>
  <c r="D7" i="9"/>
  <c r="P114" i="3"/>
  <c r="J112" i="3" s="1"/>
  <c r="P115" i="3"/>
  <c r="S92" i="3"/>
  <c r="P116" i="3" s="1"/>
  <c r="V87" i="3" l="1"/>
  <c r="V80" i="3"/>
  <c r="P113" i="3"/>
  <c r="D6" i="14" s="1"/>
  <c r="D8" i="13"/>
  <c r="P134" i="3"/>
  <c r="P55" i="3" l="1"/>
  <c r="P54" i="3"/>
  <c r="T52" i="3" l="1"/>
  <c r="P56" i="3" s="1"/>
  <c r="J63" i="3" s="1"/>
  <c r="P83" i="3"/>
  <c r="S84" i="3" s="1"/>
  <c r="J80" i="3" s="1"/>
  <c r="P135" i="3"/>
  <c r="J130" i="3" s="1"/>
  <c r="A6" i="14"/>
  <c r="A7" i="9"/>
  <c r="A8" i="13"/>
  <c r="T50" i="3"/>
  <c r="E47" i="14" l="1"/>
  <c r="E45" i="14"/>
  <c r="P137" i="3"/>
  <c r="E46" i="14"/>
  <c r="P111" i="3"/>
  <c r="J109" i="3" s="1"/>
  <c r="E52" i="14"/>
  <c r="E51" i="14"/>
  <c r="E54" i="14"/>
  <c r="E50" i="14"/>
  <c r="E53" i="14"/>
  <c r="E49" i="14"/>
  <c r="E48" i="14"/>
  <c r="J136" i="3" l="1"/>
  <c r="M36" i="7"/>
  <c r="K36" i="7"/>
  <c r="J36" i="7"/>
  <c r="I36" i="7"/>
  <c r="H36" i="7"/>
  <c r="G36" i="7"/>
  <c r="F36" i="7"/>
  <c r="E36" i="7"/>
  <c r="D36" i="7"/>
  <c r="C36" i="7"/>
  <c r="P51" i="3" l="1"/>
  <c r="I30" i="7"/>
  <c r="M35" i="7"/>
  <c r="K35" i="7"/>
  <c r="J35" i="7"/>
  <c r="I35" i="7"/>
  <c r="H35" i="7"/>
  <c r="G35" i="7"/>
  <c r="F35" i="7"/>
  <c r="E35" i="7"/>
  <c r="D35" i="7"/>
  <c r="M34" i="7"/>
  <c r="K34" i="7"/>
  <c r="J34" i="7"/>
  <c r="I34" i="7"/>
  <c r="H34" i="7"/>
  <c r="G34" i="7"/>
  <c r="F34" i="7"/>
  <c r="E34" i="7"/>
  <c r="D34" i="7"/>
  <c r="M33" i="7"/>
  <c r="K33" i="7"/>
  <c r="J33" i="7"/>
  <c r="I33" i="7"/>
  <c r="H33" i="7"/>
  <c r="G33" i="7"/>
  <c r="F33" i="7"/>
  <c r="E33" i="7"/>
  <c r="D33" i="7"/>
  <c r="M32" i="7"/>
  <c r="K32" i="7"/>
  <c r="J32" i="7"/>
  <c r="I32" i="7"/>
  <c r="H32" i="7"/>
  <c r="G32" i="7"/>
  <c r="F32" i="7"/>
  <c r="E32" i="7"/>
  <c r="D32" i="7"/>
  <c r="M31" i="7"/>
  <c r="K31" i="7"/>
  <c r="J31" i="7"/>
  <c r="I31" i="7"/>
  <c r="H31" i="7"/>
  <c r="G31" i="7"/>
  <c r="F31" i="7"/>
  <c r="E31" i="7"/>
  <c r="D31" i="7"/>
  <c r="M30" i="7"/>
  <c r="K30" i="7"/>
  <c r="J30" i="7"/>
  <c r="H30" i="7"/>
  <c r="G30" i="7"/>
  <c r="F30" i="7"/>
  <c r="E30" i="7"/>
  <c r="D30" i="7"/>
  <c r="P50" i="3"/>
  <c r="P79" i="3" s="1"/>
  <c r="P80" i="3" l="1"/>
  <c r="P84" i="3" s="1"/>
  <c r="S79" i="3"/>
  <c r="S83" i="3"/>
  <c r="J74" i="3" s="1"/>
  <c r="P52" i="3"/>
  <c r="C35" i="7"/>
  <c r="P110" i="3" l="1"/>
  <c r="P133" i="3" s="1"/>
  <c r="S81" i="3"/>
  <c r="P81" i="3"/>
  <c r="S82" i="3" s="1"/>
  <c r="P109" i="3" s="1"/>
  <c r="P132" i="3" s="1"/>
  <c r="P107" i="3"/>
  <c r="P130" i="3" s="1"/>
  <c r="C31" i="7"/>
  <c r="C32" i="7"/>
  <c r="C33" i="7"/>
  <c r="C34" i="7"/>
  <c r="S85" i="3" l="1"/>
  <c r="V88" i="3" s="1"/>
  <c r="V81" i="3"/>
  <c r="P91" i="3" s="1"/>
  <c r="J106" i="3"/>
  <c r="E6" i="14"/>
  <c r="P108" i="3"/>
  <c r="T130" i="3" s="1"/>
  <c r="V79" i="3"/>
  <c r="V86" i="3" l="1"/>
  <c r="P92" i="3"/>
  <c r="P93" i="3" s="1"/>
  <c r="P94" i="3" s="1"/>
  <c r="T107" i="3"/>
  <c r="P131" i="3"/>
  <c r="T132" i="3" s="1"/>
  <c r="P141" i="3" s="1"/>
  <c r="T109" i="3"/>
  <c r="P117" i="3" s="1"/>
  <c r="P118" i="3" s="1"/>
  <c r="P156" i="3" l="1"/>
  <c r="J155" i="3" s="1"/>
  <c r="P157" i="3"/>
  <c r="J158" i="3" s="1"/>
  <c r="P159" i="3"/>
  <c r="J164" i="3" s="1"/>
  <c r="S94" i="3" l="1"/>
  <c r="S95" i="3" l="1"/>
  <c r="S96" i="3" s="1"/>
  <c r="S97" i="3" s="1"/>
  <c r="P158" i="3" l="1"/>
  <c r="J161" i="3" s="1"/>
  <c r="P136" i="3" l="1"/>
  <c r="P142" i="3" l="1"/>
  <c r="P160" i="3" s="1"/>
  <c r="J167" i="3" s="1"/>
  <c r="P139" i="3"/>
  <c r="P140" i="3"/>
  <c r="P161" i="3" l="1"/>
</calcChain>
</file>

<file path=xl/sharedStrings.xml><?xml version="1.0" encoding="utf-8"?>
<sst xmlns="http://schemas.openxmlformats.org/spreadsheetml/2006/main" count="2069" uniqueCount="434">
  <si>
    <t>X</t>
  </si>
  <si>
    <t>TIPO DE TRANSPORTE</t>
  </si>
  <si>
    <t>CERTIFICADO DE ORIGEN</t>
  </si>
  <si>
    <t>ORIGEN</t>
  </si>
  <si>
    <t>HYTROL</t>
  </si>
  <si>
    <t>PROVEEDOR</t>
  </si>
  <si>
    <t>ADUANA</t>
  </si>
  <si>
    <t>SUCURSAL</t>
  </si>
  <si>
    <t>C.O.</t>
  </si>
  <si>
    <t>Catálogo de sucursales, aduanas y proveedores, de importacion terrestre</t>
  </si>
  <si>
    <t>Versión</t>
  </si>
  <si>
    <t>Revisión</t>
  </si>
  <si>
    <t>Fecha de actualizacion</t>
  </si>
  <si>
    <t>Sucursales</t>
  </si>
  <si>
    <t>Aduanas</t>
  </si>
  <si>
    <t>Proveedor</t>
  </si>
  <si>
    <t>Dorner</t>
  </si>
  <si>
    <t>Hytrol</t>
  </si>
  <si>
    <t>Southworth</t>
  </si>
  <si>
    <t>MiR</t>
  </si>
  <si>
    <t>UR</t>
  </si>
  <si>
    <t>Chihuahua</t>
  </si>
  <si>
    <t>Fronteriza</t>
  </si>
  <si>
    <t>Cd. Juarez</t>
  </si>
  <si>
    <t>Aerea</t>
  </si>
  <si>
    <t>Saltillo</t>
  </si>
  <si>
    <t>Maritima</t>
  </si>
  <si>
    <t xml:space="preserve">Torreon </t>
  </si>
  <si>
    <t>Monterrey</t>
  </si>
  <si>
    <t>El Paso</t>
  </si>
  <si>
    <t>CDMX</t>
  </si>
  <si>
    <t>Laredo</t>
  </si>
  <si>
    <t>Tijuana</t>
  </si>
  <si>
    <t>Nogales</t>
  </si>
  <si>
    <t>Puebla</t>
  </si>
  <si>
    <t>San Diego</t>
  </si>
  <si>
    <t>Mexicali</t>
  </si>
  <si>
    <t>Hermosillo</t>
  </si>
  <si>
    <t>AICM</t>
  </si>
  <si>
    <t>Dellner</t>
  </si>
  <si>
    <t>Altamira</t>
  </si>
  <si>
    <t>Manzanillo</t>
  </si>
  <si>
    <t>DESTINO</t>
  </si>
  <si>
    <t>Jonesboro, AR 72401</t>
  </si>
  <si>
    <t>El Paso, TX 79936</t>
  </si>
  <si>
    <t>Laredo, TX 78045</t>
  </si>
  <si>
    <t>San Diego, CA 92126</t>
  </si>
  <si>
    <t xml:space="preserve">DORNER </t>
  </si>
  <si>
    <t>975 Cottonwood Ave. WI 53029-0020</t>
  </si>
  <si>
    <t>9310 D. Ducks Lane Charlotte, NC 28273</t>
  </si>
  <si>
    <t>DORNER</t>
  </si>
  <si>
    <t>Catálogo de Fracciones Arancelarias</t>
  </si>
  <si>
    <t>Proveedores</t>
  </si>
  <si>
    <t>Parte / Equipo</t>
  </si>
  <si>
    <t xml:space="preserve">Fracción Arancelaria </t>
  </si>
  <si>
    <t>DESCRIPCIÓN EN PEDIMENTO</t>
  </si>
  <si>
    <t>Tasa IGI</t>
  </si>
  <si>
    <t>RRNA</t>
  </si>
  <si>
    <t>BANDA TRANSPORTADORA HYTROL</t>
  </si>
  <si>
    <t>P/D</t>
  </si>
  <si>
    <t>UNIVERSAL ROBOTS</t>
  </si>
  <si>
    <t>BRAZOS ROBOTICOS UR</t>
  </si>
  <si>
    <t>CARGADOR DE BATERIAS 48V 12A POWERFIRST</t>
  </si>
  <si>
    <t>MARCA MIR TABLILLA DE CIRCUITOS MODULARES NUMERO DE IDENTIFICACION</t>
  </si>
  <si>
    <t xml:space="preserve">CORREA DE CAUCHO  PARA TRANSMISION DE MOVIMIENTO 
</t>
  </si>
  <si>
    <t>GUARDA METALICA PARA TRANSPORTADOR</t>
  </si>
  <si>
    <t>REPLACEMENT BATTERY STANDARD (PUEDE INCLUIR CAJA DE BATERÍA+RETROFIT)</t>
  </si>
  <si>
    <t>C.E. SHEPHERD</t>
  </si>
  <si>
    <t>MALLAS SHEPHERD</t>
  </si>
  <si>
    <t>SOUTHWORTH</t>
  </si>
  <si>
    <t>MESAS SOUTHWORTH</t>
  </si>
  <si>
    <t>NP 113073 ONROBOT MODULO INALAMBRICO DE CONTROL PARA BRAZO ROBOTIZADO</t>
  </si>
  <si>
    <t xml:space="preserve">MOTOR ELECTRICO DE 0.5 H.P. MARCA BALDOR </t>
  </si>
  <si>
    <t>MOTOVIBRADOR ELECTRICO ITALVIBRAS</t>
  </si>
  <si>
    <t>ONROBOT</t>
  </si>
  <si>
    <t>GRIPPER de ONROBOT</t>
  </si>
  <si>
    <t>ROBOTIC</t>
  </si>
  <si>
    <t>PARTES PARA TRANSPORTADOR HYTROL</t>
  </si>
  <si>
    <t xml:space="preserve">PERFIL DE ALUMINIO BOSCH </t>
  </si>
  <si>
    <t>REDUCTOR DE VELOCIDAD</t>
  </si>
  <si>
    <t>ROBOTS INDUSTRIALES MIR</t>
  </si>
  <si>
    <t>RODILLO PARA TRANSPORTADOR</t>
  </si>
  <si>
    <t>IN-IN GUSSET &amp; SET SCREWS 10MM</t>
  </si>
  <si>
    <t xml:space="preserve">SUJETADOR DE METAL </t>
  </si>
  <si>
    <t>ACCESORIOS</t>
  </si>
  <si>
    <t>TORNILLOS</t>
  </si>
  <si>
    <t>Tornillos con diámetro igual o superior a 19.1 mm (¾ pulgada) y longitud igual o superior a 152.4 mm</t>
  </si>
  <si>
    <t>Tornillos con diámetro igual o superior a 19.1 mm (¾ pulgada) y longitud inferior a 152.4 mm</t>
  </si>
  <si>
    <t xml:space="preserve">Tornillos con diámetro igual o superior a 6.4 mm (¼ pulgada) pero inferior a 19.1 mm (¾ pulgada) y longitud igual o superior a 152.4 mm </t>
  </si>
  <si>
    <t xml:space="preserve">Tornillos con diámetro igual o superior a 6.4 mm (¼ pulgada) pero inferior a 19.1 mm (¾ pulgada) y longitud inferior a 152.4 mm </t>
  </si>
  <si>
    <t>Tornillos con diámetro inferior a 6.4 mm (¼ pulgada) y longitud igual o superior a 50.8 mm</t>
  </si>
  <si>
    <t>TRANSPORTADOR DE BANDA DORNER</t>
  </si>
  <si>
    <t>TRANSPORTADOR DE BANDA HYTROL</t>
  </si>
  <si>
    <t>TRANSPORTADOR DE CADENA PLASTICA HYTROL</t>
  </si>
  <si>
    <t>TRANSPORTADOR DE GRAVEDAD  HYTROL</t>
  </si>
  <si>
    <t>TRANSPORTADOR DE RODILLOS HYTROL</t>
  </si>
  <si>
    <t>QIMAROX</t>
  </si>
  <si>
    <t>TRANSPORTADOR VERTICAL DE MERCANCIAS QIMAROX</t>
  </si>
  <si>
    <t>TUERCAS</t>
  </si>
  <si>
    <t>Fracciones Arancelarias por Proveedor</t>
  </si>
  <si>
    <t>El Paso TX</t>
  </si>
  <si>
    <t>100 - 299 lbs</t>
  </si>
  <si>
    <t>300 - 499 lbs</t>
  </si>
  <si>
    <t>500 - 999 lbs</t>
  </si>
  <si>
    <t>1000 - 2000 lbs</t>
  </si>
  <si>
    <t>2000 lbs +</t>
  </si>
  <si>
    <t>Seccion I. Informacion General</t>
  </si>
  <si>
    <t>Perfil de aluminio</t>
  </si>
  <si>
    <t>Malla de acero galvanizado soldado en punto de cruce revestida de plástico</t>
  </si>
  <si>
    <t>Transportador de banda con accesorios</t>
  </si>
  <si>
    <t>Banda transportadora de plástico</t>
  </si>
  <si>
    <t>Partes para transportador</t>
  </si>
  <si>
    <t>Cargador de baterías 48v 12a</t>
  </si>
  <si>
    <t>Juego de baterías recargables de litio con sus accesorios para instalación</t>
  </si>
  <si>
    <t>Robot industrial para manipulación de mercancia con sus accesorios</t>
  </si>
  <si>
    <t>Partes para robot industrial</t>
  </si>
  <si>
    <t>Transportador vertical de mercancias</t>
  </si>
  <si>
    <t>Manufactura de metal</t>
  </si>
  <si>
    <t>Manufactura de aluminio</t>
  </si>
  <si>
    <t>Rodillo para transportador</t>
  </si>
  <si>
    <t>Tornillos de acero inoxidable</t>
  </si>
  <si>
    <t>Tuerca de acero inoxidable</t>
  </si>
  <si>
    <t>Modulo de control para brazo robotico</t>
  </si>
  <si>
    <t>ACOPLAMIENTO FLEXIBLE PARA EMBRAGUE</t>
  </si>
  <si>
    <t>DELLNER</t>
  </si>
  <si>
    <t>Acoplamiento flexible para embrague</t>
  </si>
  <si>
    <t>BANDA DE PLASTICO CON REFUERZO TEXTIL</t>
  </si>
  <si>
    <t>Banda de plastico con refuerzo textil</t>
  </si>
  <si>
    <t xml:space="preserve">Motorreductor </t>
  </si>
  <si>
    <t>Tuerca metalica De diámetro interior inferior o igual a 15.9 mm (5/8 pulgada)</t>
  </si>
  <si>
    <t xml:space="preserve">Tuerca metalica De diámetro interior superior a 15.9 mm (5/8 pulgada) pero inferior o igual a 38.1 mm </t>
  </si>
  <si>
    <t>Tuerca metalica De diámetro superior a 38.1 mm (1½ pulgadas)</t>
  </si>
  <si>
    <t>OnRobot</t>
  </si>
  <si>
    <t>Robotiq</t>
  </si>
  <si>
    <t>Italvibras</t>
  </si>
  <si>
    <t>Motor electrico</t>
  </si>
  <si>
    <t>Motovibrador electrico</t>
  </si>
  <si>
    <t>ITALVIBRAS</t>
  </si>
  <si>
    <t>Circuitos Modulares</t>
  </si>
  <si>
    <t>Transportador de gravedad con accesorios</t>
  </si>
  <si>
    <t>Transportador de rodillos con accesorios</t>
  </si>
  <si>
    <t>NOTAS:</t>
  </si>
  <si>
    <t>Instrucciones de envio inbond</t>
  </si>
  <si>
    <t>Instrucciones envio para importacion  consolidada</t>
  </si>
  <si>
    <t xml:space="preserve">Carretilla manual con sistema de elevacion </t>
  </si>
  <si>
    <t>CARRETILLA MANUAL</t>
  </si>
  <si>
    <t>SI</t>
  </si>
  <si>
    <t>NO</t>
  </si>
  <si>
    <t>Seccion II. Informacion de Mercancias</t>
  </si>
  <si>
    <t>Mesa de elevación con sus accesorios</t>
  </si>
  <si>
    <t>#</t>
  </si>
  <si>
    <t>A</t>
  </si>
  <si>
    <t>B</t>
  </si>
  <si>
    <t>C</t>
  </si>
  <si>
    <t>D</t>
  </si>
  <si>
    <t>F</t>
  </si>
  <si>
    <t>G</t>
  </si>
  <si>
    <t>E</t>
  </si>
  <si>
    <t>H</t>
  </si>
  <si>
    <t>I</t>
  </si>
  <si>
    <t>J</t>
  </si>
  <si>
    <t>Y</t>
  </si>
  <si>
    <t>Z</t>
  </si>
  <si>
    <t>PROV/SUC</t>
  </si>
  <si>
    <t>ZONA #</t>
  </si>
  <si>
    <t>Qimarox</t>
  </si>
  <si>
    <t>A.A.</t>
  </si>
  <si>
    <t>PRODUCTO</t>
  </si>
  <si>
    <t>INFORMACION SECCION I</t>
  </si>
  <si>
    <t>N/A</t>
  </si>
  <si>
    <t>A1</t>
  </si>
  <si>
    <t>G1</t>
  </si>
  <si>
    <t>I1</t>
  </si>
  <si>
    <t>J1</t>
  </si>
  <si>
    <t># ZONA</t>
  </si>
  <si>
    <t>B2</t>
  </si>
  <si>
    <t>E2</t>
  </si>
  <si>
    <t>I2</t>
  </si>
  <si>
    <t>J2</t>
  </si>
  <si>
    <t>1</t>
  </si>
  <si>
    <t>2</t>
  </si>
  <si>
    <t>3</t>
  </si>
  <si>
    <t>4</t>
  </si>
  <si>
    <t>G3</t>
  </si>
  <si>
    <t>I3</t>
  </si>
  <si>
    <t>J3</t>
  </si>
  <si>
    <t>A3</t>
  </si>
  <si>
    <t>H4</t>
  </si>
  <si>
    <t>I4</t>
  </si>
  <si>
    <t>J4</t>
  </si>
  <si>
    <t xml:space="preserve">Mexicali </t>
  </si>
  <si>
    <t>CORRELACION ADUANAS - SUCURSAL - PROVEEDOR</t>
  </si>
  <si>
    <t>TABLAS DE CORRELACION SUCURSAL - PROVEEDOR</t>
  </si>
  <si>
    <t>TABLAS DE CORRELACION SUCURSAL - ZONA ADUANA</t>
  </si>
  <si>
    <t>AGENCIA</t>
  </si>
  <si>
    <t>MARON</t>
  </si>
  <si>
    <t>PRL</t>
  </si>
  <si>
    <t>SICA</t>
  </si>
  <si>
    <t>PALCO</t>
  </si>
  <si>
    <t>FORMULA</t>
  </si>
  <si>
    <t>ZONA</t>
  </si>
  <si>
    <t>G1, G2, G3</t>
  </si>
  <si>
    <t>AGENCIA ADUANAL POR ZONA - SUC</t>
  </si>
  <si>
    <t>*Hay dos formas de definir la aduana de entrada: i. Por el destino de la sucursal, ii. Por el origine del proveedor y destino de sucursal</t>
  </si>
  <si>
    <t>Intechmotion</t>
  </si>
  <si>
    <t>Tipo de Aduana</t>
  </si>
  <si>
    <t>ALIANZA</t>
  </si>
  <si>
    <t>TABLAS DE CORRELACION ADUANAS POR SUCURSAL</t>
  </si>
  <si>
    <t>5</t>
  </si>
  <si>
    <t>B3</t>
  </si>
  <si>
    <t>E3</t>
  </si>
  <si>
    <t>F3</t>
  </si>
  <si>
    <t>D5</t>
  </si>
  <si>
    <t>H5</t>
  </si>
  <si>
    <t>I5</t>
  </si>
  <si>
    <t>J5</t>
  </si>
  <si>
    <t>A4</t>
  </si>
  <si>
    <t>C4</t>
  </si>
  <si>
    <t>G4</t>
  </si>
  <si>
    <t>A1, A3, A4</t>
  </si>
  <si>
    <t>B2, B3</t>
  </si>
  <si>
    <t>*Revisar importaciones por marca para cumplir con el CLOG</t>
  </si>
  <si>
    <t>E2,E3</t>
  </si>
  <si>
    <t>H4, H5</t>
  </si>
  <si>
    <t>I1, I2, I3, I4, I5</t>
  </si>
  <si>
    <t>J1, J2, J3, J4, J5</t>
  </si>
  <si>
    <t>Tarifarios de fletes de origen y fletes de importacion</t>
  </si>
  <si>
    <t>INFORMACION SECCION II</t>
  </si>
  <si>
    <t>CERTIFICADO ORIGEN</t>
  </si>
  <si>
    <t>IGI</t>
  </si>
  <si>
    <t>Laredo TX</t>
  </si>
  <si>
    <t>San diego CA</t>
  </si>
  <si>
    <t>TARIFARIOS DE FLETES CONSOLIDADOS ORIGEN-PROVEEDOR</t>
  </si>
  <si>
    <t>TIPO DE EMBARQUE</t>
  </si>
  <si>
    <t>Manila, AR 72442</t>
  </si>
  <si>
    <t>TARIFARIOS DE FLETES DEDICADOS ORIGEN-PROVEEDOR</t>
  </si>
  <si>
    <t>Tipo de Unidad</t>
  </si>
  <si>
    <t>MIR</t>
  </si>
  <si>
    <t>INTECHMOTION</t>
  </si>
  <si>
    <t>Peso Libras</t>
  </si>
  <si>
    <t>Cantidad equipos</t>
  </si>
  <si>
    <t>Region  7</t>
  </si>
  <si>
    <t>CANTIDAD BULTOS</t>
  </si>
  <si>
    <t>PESO LBS</t>
  </si>
  <si>
    <t>RUTA</t>
  </si>
  <si>
    <t xml:space="preserve">CALCULO </t>
  </si>
  <si>
    <t>INFORMACION SECCION III A</t>
  </si>
  <si>
    <t>INFORMACION SECCION III B</t>
  </si>
  <si>
    <t>DEDICADO</t>
  </si>
  <si>
    <t>CONSOLIDADO</t>
  </si>
  <si>
    <t>RUTAS PROVEEDOR-ADUANA CONSOLIDADO</t>
  </si>
  <si>
    <t>CALCULO  CONSOLIDADO</t>
  </si>
  <si>
    <t>CALCULO  DEDICADO</t>
  </si>
  <si>
    <t>VALIDACION CON/DED</t>
  </si>
  <si>
    <t>RANGO DE PESO</t>
  </si>
  <si>
    <t>Suc. Destino</t>
  </si>
  <si>
    <t>SUCURSAL DESTINO</t>
  </si>
  <si>
    <t>El PasoChihuahua</t>
  </si>
  <si>
    <t>El PasoCd. Juarez</t>
  </si>
  <si>
    <t>El PasoPuebla</t>
  </si>
  <si>
    <t>El PasoNogales</t>
  </si>
  <si>
    <t>El PasoHermosillo</t>
  </si>
  <si>
    <t>LaredoSaltillo</t>
  </si>
  <si>
    <t xml:space="preserve">LaredoTorreon </t>
  </si>
  <si>
    <t>LaredoMonterrey</t>
  </si>
  <si>
    <t>LaredoCDMX</t>
  </si>
  <si>
    <t>LaredoPuebla</t>
  </si>
  <si>
    <t>NogalesNogales</t>
  </si>
  <si>
    <t>NogalesHermosillo</t>
  </si>
  <si>
    <t>NogalesMexicali</t>
  </si>
  <si>
    <t>San DiegoMexicali</t>
  </si>
  <si>
    <t>San DiegoTijuana</t>
  </si>
  <si>
    <t>MonterreyMonterrey</t>
  </si>
  <si>
    <t>MonterreySaltillo</t>
  </si>
  <si>
    <t>AICMPuebla</t>
  </si>
  <si>
    <t>Cd. JuarezChihuahua</t>
  </si>
  <si>
    <t>Cd. JuarezCd. Juarez</t>
  </si>
  <si>
    <t>Cd. JuarezPuebla</t>
  </si>
  <si>
    <t>Cd. JuarezNogales</t>
  </si>
  <si>
    <t>TijuanaTijuana</t>
  </si>
  <si>
    <t>TijuanaMexicali</t>
  </si>
  <si>
    <t>AltamiraSucursales</t>
  </si>
  <si>
    <t>ManzanilloSucursales</t>
  </si>
  <si>
    <t>NUMERO DE CAMIONES</t>
  </si>
  <si>
    <t>ADUANA/SUCURSAL</t>
  </si>
  <si>
    <t>FLETES DE IMPORTACION EL PASO-SUCURSALES</t>
  </si>
  <si>
    <t>FTL</t>
  </si>
  <si>
    <t>RABON</t>
  </si>
  <si>
    <t>3.5</t>
  </si>
  <si>
    <t>Ruta Impo</t>
  </si>
  <si>
    <t>RUTAS IMPORTACION ADUANA-SUCURSAL DEDICADOS</t>
  </si>
  <si>
    <t>RUTAS IMPORTACION ADUANA-SUCURSAL CONSOLIDADO</t>
  </si>
  <si>
    <t>RABON 20´</t>
  </si>
  <si>
    <t>FTL 53´</t>
  </si>
  <si>
    <t>3.5 T</t>
  </si>
  <si>
    <t xml:space="preserve">RUTAS IMPORTACION ADUANA-SUCURSAL </t>
  </si>
  <si>
    <t>BODEGA - RECINTO</t>
  </si>
  <si>
    <t>Sucursal</t>
  </si>
  <si>
    <t>Aduana Impo</t>
  </si>
  <si>
    <t>Destino</t>
  </si>
  <si>
    <t>TARIFA MIN. IMPORTACION</t>
  </si>
  <si>
    <t>TARIFA POR CONSOLIDADO</t>
  </si>
  <si>
    <t>TARIFA CARGA COMPLETA</t>
  </si>
  <si>
    <t>TRAMITE IN-BOND (Adicional)</t>
  </si>
  <si>
    <t>TABLA DE PRORRATEO DE TARIFAS</t>
  </si>
  <si>
    <t>BODEGA</t>
  </si>
  <si>
    <t>DATOS</t>
  </si>
  <si>
    <t>Tarifa USD</t>
  </si>
  <si>
    <t>EL PASO, LAREDO, SAN DIEGO</t>
  </si>
  <si>
    <t>VALOR USD IMPORTACION</t>
  </si>
  <si>
    <t xml:space="preserve">COSTO  MIN. BODEGA </t>
  </si>
  <si>
    <t>FACTOR COSTO BODEGA X FACTURA</t>
  </si>
  <si>
    <t>COSTO DE PARTES</t>
  </si>
  <si>
    <t>COSTO DE BODEGA X FACTURA</t>
  </si>
  <si>
    <t>GRUPO 1780</t>
  </si>
  <si>
    <t>VALOR MERCANCIA</t>
  </si>
  <si>
    <t>TARIFAS DE BODEGAS Y RECINTOS AEREOS</t>
  </si>
  <si>
    <t>TIPO DE RUTA</t>
  </si>
  <si>
    <t>Tarifarios de Agencia Aduanal, Bodega y Recinto</t>
  </si>
  <si>
    <t>CALCULO COSTO POR OPERACIÓN</t>
  </si>
  <si>
    <t>BUSQUEDA DE IGI</t>
  </si>
  <si>
    <t>INDICE</t>
  </si>
  <si>
    <t>TASA IGI</t>
  </si>
  <si>
    <t xml:space="preserve"> </t>
  </si>
  <si>
    <t>Valor Mcia.</t>
  </si>
  <si>
    <t>Seccion V. Honorarios A.A. e Impuestos (Costo 4 &amp; 5)</t>
  </si>
  <si>
    <t>Flete Origen</t>
  </si>
  <si>
    <t>Bod &amp; Rec</t>
  </si>
  <si>
    <t>Flete Impo</t>
  </si>
  <si>
    <t>Honorario AA</t>
  </si>
  <si>
    <t>Impuesto</t>
  </si>
  <si>
    <t>TABLERO DE RESULTADOS</t>
  </si>
  <si>
    <t>FLETE PROVEEDOR</t>
  </si>
  <si>
    <t>BODEGA Y RECINTO</t>
  </si>
  <si>
    <t>FLETE DE IMPORTACION</t>
  </si>
  <si>
    <t>HONORARIOS A.A.</t>
  </si>
  <si>
    <t>IMPUESTOS</t>
  </si>
  <si>
    <t>COSTO LOGISTICO</t>
  </si>
  <si>
    <t>NOTA IMPO PARTES</t>
  </si>
  <si>
    <t>TIPO EMBARQUE</t>
  </si>
  <si>
    <t>COINCIDIR ADUANA/SUCURSAL</t>
  </si>
  <si>
    <t>COINCIDIR TIPO TRANSPORTE</t>
  </si>
  <si>
    <t>RUTAS FLETE PROVEEDOR-ADUANA</t>
  </si>
  <si>
    <t>MiR250</t>
  </si>
  <si>
    <t>MiR600</t>
  </si>
  <si>
    <t>MiR1350</t>
  </si>
  <si>
    <t>40´</t>
  </si>
  <si>
    <t>20´</t>
  </si>
  <si>
    <t>LCL</t>
  </si>
  <si>
    <t xml:space="preserve">TIPOS DE TRANSPORTE </t>
  </si>
  <si>
    <t>CARATULA DE EJERCICIO ACTUAL</t>
  </si>
  <si>
    <t>500KG</t>
  </si>
  <si>
    <t>1000KG</t>
  </si>
  <si>
    <t xml:space="preserve"> &lt; 500KG</t>
  </si>
  <si>
    <t>HONORARIOS AGENCIA ADUANAL POR ZONA - SUC</t>
  </si>
  <si>
    <t>COSTO BODEGA POR AGENCIA ADUANAL  ZONA - SUC</t>
  </si>
  <si>
    <t>LCL &lt; 1000 KG</t>
  </si>
  <si>
    <t>LCL &gt; 1000 KG</t>
  </si>
  <si>
    <t>FCL &lt;&gt; 20000 KG</t>
  </si>
  <si>
    <t>3 - 9 SKD</t>
  </si>
  <si>
    <t>1 - 3 SKD</t>
  </si>
  <si>
    <t>10+ SKD</t>
  </si>
  <si>
    <t>Min. Charge</t>
  </si>
  <si>
    <t>TOTAL HONORARIOS A.A.</t>
  </si>
  <si>
    <t>TOTAL BODEGA Y RECINTO</t>
  </si>
  <si>
    <t>Valor Mercancia</t>
  </si>
  <si>
    <t>Certif. de  Origen</t>
  </si>
  <si>
    <t>TOTAL FLETE IMPO</t>
  </si>
  <si>
    <t>TOTAL FLETE PROVEEDOR</t>
  </si>
  <si>
    <t>TOTAL IMPUESTOS</t>
  </si>
  <si>
    <t>COINCIDIR ADUANA/BODEGA</t>
  </si>
  <si>
    <t>INFORMACION SECCION V</t>
  </si>
  <si>
    <t>INFORMACION SECCION IV</t>
  </si>
  <si>
    <t>VALOR ADUANA</t>
  </si>
  <si>
    <t>Seccion VI. Resumen de Costo Logistico</t>
  </si>
  <si>
    <t>Mercancía</t>
  </si>
  <si>
    <t>DTA</t>
  </si>
  <si>
    <t>BUSQUEDA DE COSTO BODEGA</t>
  </si>
  <si>
    <t>BUSQUEDA DE COSTO AGENTE ADUANAL</t>
  </si>
  <si>
    <t>COINCIDIR ADUANA/AGENTE</t>
  </si>
  <si>
    <t>Juarez</t>
  </si>
  <si>
    <t>ADUANA DESTINO</t>
  </si>
  <si>
    <t>CRUCE FRONTERIZO</t>
  </si>
  <si>
    <t>PARTES PARA TRANSPORTADOR DORNER</t>
  </si>
  <si>
    <t>Brazo robotico para uso industrial con accesorios para su instalacion y funcionamiento</t>
  </si>
  <si>
    <t>PARTES PARA ROBOT</t>
  </si>
  <si>
    <t>BUSQUEDA DE A.A.</t>
  </si>
  <si>
    <t>CLAVE</t>
  </si>
  <si>
    <t>COINCIDIR ADUANA (Fila)</t>
  </si>
  <si>
    <t>COINCIDIR A.A. (Columna)</t>
  </si>
  <si>
    <t>COINCIDIR MATERIAL (Fila)</t>
  </si>
  <si>
    <t>COINCIDIR IGI (Columna)</t>
  </si>
  <si>
    <t>Transportador de cadena plástica</t>
  </si>
  <si>
    <t>Cantidad bultos</t>
  </si>
  <si>
    <t>Remitente</t>
  </si>
  <si>
    <t>COSTO MANUAL</t>
  </si>
  <si>
    <t>Cantidad Bultos</t>
  </si>
  <si>
    <t>Seccion IV. Bodega y Almacen Recinto (Costo 3)</t>
  </si>
  <si>
    <t>Seccion III. Informacion de Transporte (Costo 1 &amp; 2)</t>
  </si>
  <si>
    <t>CORREGIR FORMULA CONSOLIDADO</t>
  </si>
  <si>
    <t>Instrucciones</t>
  </si>
  <si>
    <t>BUSQUEDA DE ADUANA</t>
  </si>
  <si>
    <t>HYTROLEl Paso</t>
  </si>
  <si>
    <t>HYTROLLaredo</t>
  </si>
  <si>
    <t>HYTROLSan Diego</t>
  </si>
  <si>
    <t>HYTROLNogales</t>
  </si>
  <si>
    <t>SOUTHWORTHEl Paso</t>
  </si>
  <si>
    <t>SOUTHWORTHLaredo</t>
  </si>
  <si>
    <t>SOUTHWORTHSan Diego</t>
  </si>
  <si>
    <t>SOUTHWORTHNogales</t>
  </si>
  <si>
    <t>DORNEREl Paso</t>
  </si>
  <si>
    <t>DORNERLaredo</t>
  </si>
  <si>
    <t>DORNERSan Diego</t>
  </si>
  <si>
    <t>DORNERNogales</t>
  </si>
  <si>
    <t>INTECHMOTIONEl Paso</t>
  </si>
  <si>
    <t>INTECHMOTIONLaredo</t>
  </si>
  <si>
    <t>INTECHMOTIONSan Diego</t>
  </si>
  <si>
    <t>INTECHMOTIONNogales</t>
  </si>
  <si>
    <t>TARIFARIOS DE FLETES CONSOLIDADOS ORIGEN-PROVEEDOR (2024)</t>
  </si>
  <si>
    <t>TARIFARIOS DE FLETES CONSOLIDADOS ORIGEN-PROVEEDOR (2025) *ACTUAL*</t>
  </si>
  <si>
    <t>HISTORIAL DE TARIFARIOS FLETES DE PROVEEDOR</t>
  </si>
  <si>
    <t>Region  7 UR20</t>
  </si>
  <si>
    <t>BUSQUEDA DE COSTO TRANSPORTE 1</t>
  </si>
  <si>
    <t>BUSQUEDA DE COSTO TRANSPORTE 2</t>
  </si>
  <si>
    <t>Embalaje MIR250</t>
  </si>
  <si>
    <t>Embalaje MIR600</t>
  </si>
  <si>
    <t>Embalaje MIR1350</t>
  </si>
  <si>
    <t xml:space="preserve"> Embalaje UR</t>
  </si>
  <si>
    <t>Embalaje UR20</t>
  </si>
  <si>
    <t xml:space="preserve"> Embalaje URe</t>
  </si>
  <si>
    <t xml:space="preserve"> Embalaje UR20</t>
  </si>
  <si>
    <t>Region 7 URe</t>
  </si>
  <si>
    <t>Region 7 UR</t>
  </si>
  <si>
    <t>Embalaje 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</si>
</sst>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$&quot;#,##0.00"/>
    <numFmt numFmtId="165" formatCode="0.0"/>
    <numFmt numFmtId="166" formatCode="dd/mm/yyyy;@"/>
    <numFmt numFmtId="167" formatCode="0.0%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2"/>
      <color indexed="8"/>
      <name val="Aptos"/>
      <family val="2"/>
    </font>
    <font>
      <b/>
      <sz val="11"/>
      <color indexed="8"/>
      <name val="Aptos"/>
      <family val="2"/>
    </font>
    <font>
      <b/>
      <shadow/>
      <sz val="14"/>
      <color theme="1"/>
      <name val="Aptos"/>
      <family val="2"/>
    </font>
    <font>
      <sz val="10"/>
      <name val="MS Sans Serif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theme="8" tint="-0.499984740745262"/>
      <name val="Calibri"/>
      <family val="2"/>
      <scheme val="minor"/>
    </font>
    <font>
      <b/>
      <sz val="10"/>
      <name val="Calibri"/>
      <family val="2"/>
    </font>
    <font>
      <b/>
      <sz val="22"/>
      <color rgb="FF3B3838"/>
      <name val="Segoe UI Light"/>
      <family val="2"/>
    </font>
    <font>
      <b/>
      <sz val="22"/>
      <color theme="7" tint="0.79998168889431442"/>
      <name val="Segoe UI Light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Segoe UI Light"/>
      <family val="2"/>
    </font>
    <font>
      <i/>
      <sz val="11"/>
      <color theme="1"/>
      <name val="Segoe UI Light"/>
      <family val="2"/>
    </font>
    <font>
      <sz val="11"/>
      <color theme="1"/>
      <name val="Segoe UI Light"/>
      <family val="2"/>
    </font>
    <font>
      <b/>
      <sz val="12"/>
      <color theme="1"/>
      <name val="Segoe UI Light"/>
      <family val="2"/>
    </font>
    <font>
      <b/>
      <sz val="11"/>
      <color theme="1"/>
      <name val="Segoe UI Light"/>
      <family val="2"/>
    </font>
    <font>
      <sz val="10"/>
      <color theme="1"/>
      <name val="Segoe UI Light"/>
      <family val="2"/>
    </font>
    <font>
      <sz val="11"/>
      <color theme="1"/>
      <name val="Mongolian Baiti"/>
      <family val="4"/>
    </font>
    <font>
      <b/>
      <sz val="20"/>
      <color theme="0"/>
      <name val="Segoe UI Light"/>
      <family val="2"/>
    </font>
    <font>
      <b/>
      <u/>
      <sz val="12"/>
      <color rgb="FF0000CC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1"/>
      <color rgb="FF0000CC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C1E4FF"/>
        <bgColor indexed="64"/>
      </patternFill>
    </fill>
  </fills>
  <borders count="7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/>
      <right/>
      <top style="medium">
        <color rgb="FF00206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indexed="64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/>
      <top style="thin">
        <color indexed="64"/>
      </top>
      <bottom style="medium">
        <color rgb="FF00206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 style="medium">
        <color rgb="FF002060"/>
      </left>
      <right style="medium">
        <color rgb="FF00206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6">
    <xf numFmtId="0" fontId="0" fillId="0" borderId="0" xfId="0"/>
    <xf numFmtId="0" fontId="0" fillId="0" borderId="10" xfId="0" applyBorder="1"/>
    <xf numFmtId="0" fontId="0" fillId="0" borderId="0" xfId="0" applyAlignment="1" applyProtection="1">
      <alignment vertical="center"/>
      <protection locked="0"/>
    </xf>
    <xf numFmtId="0" fontId="16" fillId="0" borderId="10" xfId="0" applyFont="1" applyBorder="1" applyAlignment="1" applyProtection="1">
      <alignment horizontal="left" vertical="center"/>
      <protection locked="0"/>
    </xf>
    <xf numFmtId="49" fontId="16" fillId="0" borderId="10" xfId="0" applyNumberFormat="1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9" fontId="16" fillId="0" borderId="10" xfId="1" applyFont="1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6" fillId="5" borderId="22" xfId="3" applyFont="1" applyFill="1" applyBorder="1" applyAlignment="1">
      <alignment horizontal="center" vertical="center" wrapText="1"/>
    </xf>
    <xf numFmtId="0" fontId="16" fillId="5" borderId="15" xfId="3" applyFont="1" applyFill="1" applyBorder="1" applyAlignment="1">
      <alignment horizontal="center" vertical="center" wrapText="1"/>
    </xf>
    <xf numFmtId="165" fontId="16" fillId="0" borderId="11" xfId="3" applyNumberFormat="1" applyFont="1" applyBorder="1" applyAlignment="1">
      <alignment horizontal="center" vertical="center" wrapText="1"/>
    </xf>
    <xf numFmtId="0" fontId="16" fillId="0" borderId="11" xfId="3" applyFont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6" fillId="5" borderId="28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9" fontId="16" fillId="0" borderId="1" xfId="1" applyFont="1" applyBorder="1" applyAlignment="1" applyProtection="1">
      <alignment horizontal="left" vertical="center"/>
      <protection locked="0"/>
    </xf>
    <xf numFmtId="9" fontId="16" fillId="0" borderId="7" xfId="1" applyFont="1" applyBorder="1" applyAlignment="1" applyProtection="1">
      <alignment horizontal="left" vertical="center"/>
      <protection locked="0"/>
    </xf>
    <xf numFmtId="0" fontId="16" fillId="0" borderId="9" xfId="0" applyFont="1" applyBorder="1" applyAlignment="1" applyProtection="1">
      <alignment horizontal="left" vertical="center"/>
      <protection locked="0"/>
    </xf>
    <xf numFmtId="9" fontId="16" fillId="0" borderId="10" xfId="0" applyNumberFormat="1" applyFont="1" applyBorder="1" applyAlignment="1" applyProtection="1">
      <alignment horizontal="left" vertical="center"/>
      <protection locked="0"/>
    </xf>
    <xf numFmtId="49" fontId="16" fillId="0" borderId="41" xfId="0" applyNumberFormat="1" applyFont="1" applyBorder="1" applyAlignment="1">
      <alignment horizontal="center" vertical="center"/>
    </xf>
    <xf numFmtId="49" fontId="16" fillId="0" borderId="42" xfId="0" applyNumberFormat="1" applyFont="1" applyBorder="1" applyAlignment="1">
      <alignment horizontal="center" vertical="center"/>
    </xf>
    <xf numFmtId="49" fontId="16" fillId="0" borderId="43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65" fontId="16" fillId="0" borderId="0" xfId="3" applyNumberFormat="1" applyFont="1" applyAlignment="1">
      <alignment horizontal="center" vertical="center" wrapText="1"/>
    </xf>
    <xf numFmtId="0" fontId="16" fillId="0" borderId="11" xfId="0" applyFont="1" applyBorder="1" applyAlignment="1">
      <alignment vertical="center"/>
    </xf>
    <xf numFmtId="49" fontId="16" fillId="0" borderId="44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6" fillId="0" borderId="9" xfId="0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16" fillId="0" borderId="2" xfId="0" applyFont="1" applyBorder="1" applyAlignment="1">
      <alignment horizontal="center" vertical="center"/>
    </xf>
    <xf numFmtId="2" fontId="0" fillId="0" borderId="0" xfId="0" applyNumberFormat="1"/>
    <xf numFmtId="2" fontId="16" fillId="0" borderId="9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vertical="center"/>
    </xf>
    <xf numFmtId="0" fontId="16" fillId="0" borderId="48" xfId="0" applyFont="1" applyBorder="1" applyAlignment="1">
      <alignment horizontal="center" vertical="center"/>
    </xf>
    <xf numFmtId="0" fontId="17" fillId="4" borderId="47" xfId="0" applyFont="1" applyFill="1" applyBorder="1" applyAlignment="1">
      <alignment vertical="center"/>
    </xf>
    <xf numFmtId="0" fontId="17" fillId="4" borderId="48" xfId="0" applyFont="1" applyFill="1" applyBorder="1" applyAlignment="1">
      <alignment horizontal="center" vertical="center"/>
    </xf>
    <xf numFmtId="0" fontId="16" fillId="0" borderId="49" xfId="0" applyFont="1" applyBorder="1" applyAlignment="1">
      <alignment vertical="center"/>
    </xf>
    <xf numFmtId="2" fontId="16" fillId="0" borderId="50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vertical="center"/>
    </xf>
    <xf numFmtId="2" fontId="16" fillId="2" borderId="12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49" fontId="16" fillId="0" borderId="11" xfId="0" applyNumberFormat="1" applyFont="1" applyBorder="1" applyAlignment="1" applyProtection="1">
      <alignment horizontal="left" vertical="center"/>
      <protection locked="0"/>
    </xf>
    <xf numFmtId="2" fontId="0" fillId="0" borderId="7" xfId="0" applyNumberFormat="1" applyBorder="1" applyAlignment="1">
      <alignment vertical="center"/>
    </xf>
    <xf numFmtId="0" fontId="14" fillId="0" borderId="0" xfId="0" applyFont="1" applyAlignment="1">
      <alignment vertical="center"/>
    </xf>
    <xf numFmtId="2" fontId="0" fillId="0" borderId="11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6" fillId="2" borderId="23" xfId="0" applyFont="1" applyFill="1" applyBorder="1" applyAlignment="1">
      <alignment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vertical="center"/>
    </xf>
    <xf numFmtId="2" fontId="16" fillId="2" borderId="19" xfId="0" applyNumberFormat="1" applyFont="1" applyFill="1" applyBorder="1" applyAlignment="1">
      <alignment horizontal="center" vertical="center"/>
    </xf>
    <xf numFmtId="49" fontId="16" fillId="2" borderId="51" xfId="0" applyNumberFormat="1" applyFont="1" applyFill="1" applyBorder="1" applyAlignment="1">
      <alignment horizontal="center" vertical="center"/>
    </xf>
    <xf numFmtId="49" fontId="16" fillId="2" borderId="17" xfId="0" applyNumberFormat="1" applyFont="1" applyFill="1" applyBorder="1" applyAlignment="1">
      <alignment horizontal="center" vertical="center"/>
    </xf>
    <xf numFmtId="49" fontId="16" fillId="2" borderId="13" xfId="0" applyNumberFormat="1" applyFont="1" applyFill="1" applyBorder="1" applyAlignment="1">
      <alignment horizontal="center" vertical="center"/>
    </xf>
    <xf numFmtId="49" fontId="16" fillId="2" borderId="19" xfId="0" applyNumberFormat="1" applyFont="1" applyFill="1" applyBorder="1" applyAlignment="1">
      <alignment horizontal="center" vertical="center"/>
    </xf>
    <xf numFmtId="49" fontId="23" fillId="2" borderId="17" xfId="0" applyNumberFormat="1" applyFont="1" applyFill="1" applyBorder="1" applyAlignment="1">
      <alignment vertical="center"/>
    </xf>
    <xf numFmtId="49" fontId="23" fillId="2" borderId="18" xfId="0" applyNumberFormat="1" applyFont="1" applyFill="1" applyBorder="1" applyAlignment="1">
      <alignment vertical="center"/>
    </xf>
    <xf numFmtId="49" fontId="23" fillId="2" borderId="19" xfId="0" applyNumberFormat="1" applyFont="1" applyFill="1" applyBorder="1" applyAlignment="1">
      <alignment vertical="center"/>
    </xf>
    <xf numFmtId="2" fontId="0" fillId="2" borderId="16" xfId="0" applyNumberFormat="1" applyFill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2" fontId="0" fillId="2" borderId="52" xfId="0" applyNumberForma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2" fontId="0" fillId="2" borderId="39" xfId="0" applyNumberForma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2" fontId="0" fillId="0" borderId="48" xfId="0" applyNumberFormat="1" applyBorder="1" applyAlignment="1">
      <alignment vertical="center"/>
    </xf>
    <xf numFmtId="2" fontId="0" fillId="0" borderId="53" xfId="0" applyNumberFormat="1" applyBorder="1" applyAlignment="1">
      <alignment vertical="center"/>
    </xf>
    <xf numFmtId="2" fontId="0" fillId="0" borderId="50" xfId="0" applyNumberFormat="1" applyBorder="1" applyAlignment="1">
      <alignment vertical="center"/>
    </xf>
    <xf numFmtId="0" fontId="17" fillId="4" borderId="40" xfId="0" applyFont="1" applyFill="1" applyBorder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1" xfId="0" applyFont="1" applyFill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49" fontId="16" fillId="2" borderId="24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2" fontId="0" fillId="0" borderId="11" xfId="0" applyNumberFormat="1" applyBorder="1" applyAlignment="1">
      <alignment vertical="center"/>
    </xf>
    <xf numFmtId="0" fontId="16" fillId="2" borderId="55" xfId="0" applyFont="1" applyFill="1" applyBorder="1" applyAlignment="1">
      <alignment vertical="center"/>
    </xf>
    <xf numFmtId="0" fontId="16" fillId="2" borderId="56" xfId="0" applyFont="1" applyFill="1" applyBorder="1" applyAlignment="1">
      <alignment vertical="center"/>
    </xf>
    <xf numFmtId="0" fontId="16" fillId="2" borderId="57" xfId="0" applyFont="1" applyFill="1" applyBorder="1" applyAlignment="1">
      <alignment vertical="center"/>
    </xf>
    <xf numFmtId="0" fontId="16" fillId="2" borderId="58" xfId="0" applyFont="1" applyFill="1" applyBorder="1" applyAlignment="1">
      <alignment vertical="center"/>
    </xf>
    <xf numFmtId="0" fontId="16" fillId="2" borderId="59" xfId="0" applyFont="1" applyFill="1" applyBorder="1" applyAlignment="1">
      <alignment vertical="center"/>
    </xf>
    <xf numFmtId="0" fontId="16" fillId="2" borderId="60" xfId="0" applyFont="1" applyFill="1" applyBorder="1" applyAlignment="1">
      <alignment vertical="center"/>
    </xf>
    <xf numFmtId="0" fontId="16" fillId="2" borderId="61" xfId="0" applyFont="1" applyFill="1" applyBorder="1" applyAlignment="1">
      <alignment vertical="center"/>
    </xf>
    <xf numFmtId="0" fontId="16" fillId="2" borderId="62" xfId="0" applyFont="1" applyFill="1" applyBorder="1" applyAlignment="1">
      <alignment vertical="center"/>
    </xf>
    <xf numFmtId="0" fontId="16" fillId="2" borderId="41" xfId="0" applyFont="1" applyFill="1" applyBorder="1" applyAlignment="1">
      <alignment vertical="center"/>
    </xf>
    <xf numFmtId="0" fontId="16" fillId="2" borderId="42" xfId="0" applyFont="1" applyFill="1" applyBorder="1" applyAlignment="1">
      <alignment vertical="center"/>
    </xf>
    <xf numFmtId="0" fontId="16" fillId="2" borderId="43" xfId="0" applyFont="1" applyFill="1" applyBorder="1" applyAlignment="1">
      <alignment vertical="center"/>
    </xf>
    <xf numFmtId="0" fontId="16" fillId="2" borderId="63" xfId="0" applyFont="1" applyFill="1" applyBorder="1" applyAlignment="1">
      <alignment vertical="center"/>
    </xf>
    <xf numFmtId="0" fontId="16" fillId="2" borderId="8" xfId="0" applyFont="1" applyFill="1" applyBorder="1" applyAlignment="1">
      <alignment vertical="center"/>
    </xf>
    <xf numFmtId="0" fontId="16" fillId="2" borderId="64" xfId="0" applyFont="1" applyFill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9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6" fillId="5" borderId="38" xfId="0" applyFont="1" applyFill="1" applyBorder="1" applyAlignment="1">
      <alignment vertical="center" wrapText="1"/>
    </xf>
    <xf numFmtId="0" fontId="16" fillId="5" borderId="37" xfId="0" applyFont="1" applyFill="1" applyBorder="1" applyAlignment="1">
      <alignment vertical="center" wrapText="1"/>
    </xf>
    <xf numFmtId="0" fontId="16" fillId="2" borderId="16" xfId="0" applyFont="1" applyFill="1" applyBorder="1" applyAlignment="1">
      <alignment vertical="center"/>
    </xf>
    <xf numFmtId="0" fontId="16" fillId="5" borderId="22" xfId="0" applyFont="1" applyFill="1" applyBorder="1" applyAlignment="1">
      <alignment vertical="center"/>
    </xf>
    <xf numFmtId="0" fontId="16" fillId="5" borderId="38" xfId="0" applyFont="1" applyFill="1" applyBorder="1" applyAlignment="1">
      <alignment vertical="center"/>
    </xf>
    <xf numFmtId="0" fontId="16" fillId="5" borderId="37" xfId="0" applyFont="1" applyFill="1" applyBorder="1" applyAlignment="1">
      <alignment vertical="center"/>
    </xf>
    <xf numFmtId="2" fontId="0" fillId="0" borderId="59" xfId="0" applyNumberFormat="1" applyBorder="1" applyAlignment="1">
      <alignment vertical="center"/>
    </xf>
    <xf numFmtId="0" fontId="16" fillId="5" borderId="16" xfId="0" applyFont="1" applyFill="1" applyBorder="1" applyAlignment="1">
      <alignment vertical="center"/>
    </xf>
    <xf numFmtId="0" fontId="16" fillId="5" borderId="51" xfId="0" applyFont="1" applyFill="1" applyBorder="1" applyAlignment="1">
      <alignment vertical="center"/>
    </xf>
    <xf numFmtId="49" fontId="23" fillId="2" borderId="0" xfId="0" applyNumberFormat="1" applyFont="1" applyFill="1" applyAlignment="1">
      <alignment vertical="center"/>
    </xf>
    <xf numFmtId="49" fontId="23" fillId="2" borderId="7" xfId="0" applyNumberFormat="1" applyFont="1" applyFill="1" applyBorder="1" applyAlignment="1">
      <alignment vertical="center"/>
    </xf>
    <xf numFmtId="49" fontId="23" fillId="2" borderId="55" xfId="0" applyNumberFormat="1" applyFont="1" applyFill="1" applyBorder="1" applyAlignment="1">
      <alignment vertical="center"/>
    </xf>
    <xf numFmtId="49" fontId="23" fillId="2" borderId="58" xfId="0" applyNumberFormat="1" applyFont="1" applyFill="1" applyBorder="1" applyAlignment="1">
      <alignment vertical="center"/>
    </xf>
    <xf numFmtId="49" fontId="23" fillId="2" borderId="56" xfId="0" applyNumberFormat="1" applyFont="1" applyFill="1" applyBorder="1" applyAlignment="1">
      <alignment vertical="center"/>
    </xf>
    <xf numFmtId="49" fontId="23" fillId="2" borderId="57" xfId="0" applyNumberFormat="1" applyFont="1" applyFill="1" applyBorder="1" applyAlignment="1">
      <alignment vertical="center"/>
    </xf>
    <xf numFmtId="49" fontId="23" fillId="2" borderId="59" xfId="0" applyNumberFormat="1" applyFont="1" applyFill="1" applyBorder="1" applyAlignment="1">
      <alignment vertical="center"/>
    </xf>
    <xf numFmtId="0" fontId="16" fillId="5" borderId="17" xfId="0" applyFont="1" applyFill="1" applyBorder="1" applyAlignment="1">
      <alignment vertical="center"/>
    </xf>
    <xf numFmtId="49" fontId="16" fillId="0" borderId="54" xfId="0" applyNumberFormat="1" applyFont="1" applyBorder="1" applyAlignment="1">
      <alignment horizontal="center" vertical="center"/>
    </xf>
    <xf numFmtId="49" fontId="16" fillId="0" borderId="58" xfId="0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0" fontId="16" fillId="5" borderId="10" xfId="3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165" fontId="16" fillId="0" borderId="0" xfId="3" applyNumberFormat="1" applyFont="1" applyAlignment="1">
      <alignment horizontal="left" vertical="center" wrapText="1"/>
    </xf>
    <xf numFmtId="165" fontId="16" fillId="0" borderId="10" xfId="3" applyNumberFormat="1" applyFont="1" applyBorder="1" applyAlignment="1">
      <alignment horizontal="left" vertical="center" wrapText="1"/>
    </xf>
    <xf numFmtId="44" fontId="16" fillId="0" borderId="10" xfId="5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/>
    </xf>
    <xf numFmtId="0" fontId="16" fillId="5" borderId="11" xfId="3" applyFont="1" applyFill="1" applyBorder="1" applyAlignment="1">
      <alignment horizontal="center" vertical="center" wrapText="1"/>
    </xf>
    <xf numFmtId="49" fontId="23" fillId="3" borderId="11" xfId="0" applyNumberFormat="1" applyFont="1" applyFill="1" applyBorder="1" applyAlignment="1">
      <alignment horizontal="center" vertical="center"/>
    </xf>
    <xf numFmtId="44" fontId="0" fillId="0" borderId="10" xfId="5" applyFont="1" applyBorder="1"/>
    <xf numFmtId="44" fontId="0" fillId="0" borderId="10" xfId="5" applyFont="1" applyBorder="1" applyAlignment="1">
      <alignment horizontal="center" vertical="center"/>
    </xf>
    <xf numFmtId="44" fontId="0" fillId="2" borderId="10" xfId="5" applyFont="1" applyFill="1" applyBorder="1" applyAlignment="1">
      <alignment vertical="center"/>
    </xf>
    <xf numFmtId="44" fontId="0" fillId="2" borderId="10" xfId="5" applyFont="1" applyFill="1" applyBorder="1"/>
    <xf numFmtId="44" fontId="14" fillId="0" borderId="0" xfId="5" applyFont="1" applyAlignment="1">
      <alignment vertical="center"/>
    </xf>
    <xf numFmtId="44" fontId="16" fillId="5" borderId="15" xfId="5" applyFont="1" applyFill="1" applyBorder="1" applyAlignment="1">
      <alignment horizontal="center" vertical="center" wrapText="1"/>
    </xf>
    <xf numFmtId="44" fontId="16" fillId="0" borderId="11" xfId="5" applyFont="1" applyBorder="1" applyAlignment="1">
      <alignment horizontal="center" vertical="center" wrapText="1"/>
    </xf>
    <xf numFmtId="44" fontId="16" fillId="0" borderId="0" xfId="5" applyFont="1" applyAlignment="1">
      <alignment horizontal="center" vertical="center" wrapText="1"/>
    </xf>
    <xf numFmtId="44" fontId="16" fillId="0" borderId="9" xfId="5" applyFont="1" applyBorder="1" applyAlignment="1">
      <alignment horizontal="center" vertical="center"/>
    </xf>
    <xf numFmtId="44" fontId="16" fillId="0" borderId="10" xfId="5" applyFont="1" applyBorder="1" applyAlignment="1">
      <alignment horizontal="center" vertical="center"/>
    </xf>
    <xf numFmtId="44" fontId="0" fillId="0" borderId="0" xfId="5" applyFont="1"/>
    <xf numFmtId="0" fontId="16" fillId="5" borderId="9" xfId="3" applyFont="1" applyFill="1" applyBorder="1" applyAlignment="1">
      <alignment horizontal="center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0" fillId="0" borderId="0" xfId="5" applyFont="1" applyBorder="1"/>
    <xf numFmtId="44" fontId="0" fillId="0" borderId="0" xfId="5" applyFont="1" applyBorder="1" applyAlignment="1">
      <alignment horizontal="center" vertical="center"/>
    </xf>
    <xf numFmtId="44" fontId="5" fillId="0" borderId="10" xfId="5" applyFont="1" applyBorder="1" applyAlignment="1">
      <alignment horizontal="center" vertical="center" wrapText="1"/>
    </xf>
    <xf numFmtId="49" fontId="23" fillId="2" borderId="15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0" fillId="0" borderId="12" xfId="0" applyBorder="1"/>
    <xf numFmtId="44" fontId="0" fillId="2" borderId="12" xfId="5" applyFont="1" applyFill="1" applyBorder="1"/>
    <xf numFmtId="0" fontId="0" fillId="0" borderId="45" xfId="0" applyBorder="1" applyAlignment="1">
      <alignment vertical="center"/>
    </xf>
    <xf numFmtId="0" fontId="16" fillId="0" borderId="54" xfId="0" applyFont="1" applyBorder="1" applyAlignment="1">
      <alignment vertical="center"/>
    </xf>
    <xf numFmtId="0" fontId="0" fillId="0" borderId="54" xfId="0" applyBorder="1"/>
    <xf numFmtId="44" fontId="0" fillId="2" borderId="54" xfId="5" applyFont="1" applyFill="1" applyBorder="1" applyAlignment="1">
      <alignment vertical="center"/>
    </xf>
    <xf numFmtId="44" fontId="0" fillId="2" borderId="46" xfId="5" applyFont="1" applyFill="1" applyBorder="1"/>
    <xf numFmtId="0" fontId="0" fillId="0" borderId="47" xfId="0" applyBorder="1" applyAlignment="1">
      <alignment vertical="center"/>
    </xf>
    <xf numFmtId="44" fontId="0" fillId="2" borderId="48" xfId="5" applyFont="1" applyFill="1" applyBorder="1"/>
    <xf numFmtId="0" fontId="0" fillId="0" borderId="47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6" fillId="0" borderId="53" xfId="0" applyFont="1" applyBorder="1" applyAlignment="1">
      <alignment vertical="center"/>
    </xf>
    <xf numFmtId="0" fontId="0" fillId="0" borderId="53" xfId="0" applyBorder="1"/>
    <xf numFmtId="44" fontId="0" fillId="2" borderId="53" xfId="5" applyFont="1" applyFill="1" applyBorder="1" applyAlignment="1">
      <alignment vertical="center"/>
    </xf>
    <xf numFmtId="44" fontId="0" fillId="2" borderId="50" xfId="5" applyFont="1" applyFill="1" applyBorder="1"/>
    <xf numFmtId="0" fontId="13" fillId="0" borderId="12" xfId="0" applyFont="1" applyBorder="1" applyAlignment="1">
      <alignment vertical="center"/>
    </xf>
    <xf numFmtId="44" fontId="0" fillId="2" borderId="12" xfId="5" applyFont="1" applyFill="1" applyBorder="1" applyAlignment="1">
      <alignment vertical="center"/>
    </xf>
    <xf numFmtId="44" fontId="0" fillId="2" borderId="54" xfId="5" applyFont="1" applyFill="1" applyBorder="1"/>
    <xf numFmtId="0" fontId="0" fillId="0" borderId="49" xfId="0" applyBorder="1" applyAlignment="1">
      <alignment vertical="center"/>
    </xf>
    <xf numFmtId="44" fontId="0" fillId="2" borderId="53" xfId="5" applyFont="1" applyFill="1" applyBorder="1"/>
    <xf numFmtId="0" fontId="0" fillId="0" borderId="45" xfId="0" applyBorder="1" applyAlignment="1">
      <alignment horizontal="left" vertical="center"/>
    </xf>
    <xf numFmtId="44" fontId="0" fillId="2" borderId="46" xfId="5" applyFont="1" applyFill="1" applyBorder="1" applyAlignment="1">
      <alignment vertical="center"/>
    </xf>
    <xf numFmtId="44" fontId="0" fillId="2" borderId="48" xfId="5" applyFont="1" applyFill="1" applyBorder="1" applyAlignment="1">
      <alignment vertical="center"/>
    </xf>
    <xf numFmtId="44" fontId="16" fillId="0" borderId="0" xfId="5" applyFont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right" vertical="center" wrapText="1"/>
    </xf>
    <xf numFmtId="0" fontId="16" fillId="5" borderId="11" xfId="0" applyFont="1" applyFill="1" applyBorder="1" applyAlignment="1">
      <alignment horizontal="right" vertical="center" wrapText="1"/>
    </xf>
    <xf numFmtId="44" fontId="0" fillId="2" borderId="11" xfId="5" applyFont="1" applyFill="1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11" xfId="0" applyBorder="1"/>
    <xf numFmtId="44" fontId="0" fillId="2" borderId="71" xfId="5" applyFont="1" applyFill="1" applyBorder="1"/>
    <xf numFmtId="0" fontId="16" fillId="2" borderId="72" xfId="0" applyFont="1" applyFill="1" applyBorder="1" applyAlignment="1">
      <alignment vertical="center"/>
    </xf>
    <xf numFmtId="0" fontId="16" fillId="2" borderId="9" xfId="0" applyFont="1" applyFill="1" applyBorder="1" applyAlignment="1">
      <alignment vertical="center"/>
    </xf>
    <xf numFmtId="0" fontId="16" fillId="2" borderId="73" xfId="0" applyFont="1" applyFill="1" applyBorder="1" applyAlignment="1">
      <alignment vertical="center"/>
    </xf>
    <xf numFmtId="2" fontId="0" fillId="0" borderId="43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0" fontId="14" fillId="0" borderId="13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166" fontId="15" fillId="0" borderId="0" xfId="0" applyNumberFormat="1" applyFont="1" applyAlignment="1">
      <alignment vertical="center"/>
    </xf>
    <xf numFmtId="0" fontId="16" fillId="5" borderId="28" xfId="3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5" fillId="0" borderId="29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6" fillId="0" borderId="35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6" fillId="0" borderId="68" xfId="0" applyFont="1" applyBorder="1" applyAlignment="1">
      <alignment horizontal="left" vertical="center"/>
    </xf>
    <xf numFmtId="0" fontId="16" fillId="0" borderId="69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5" fillId="0" borderId="69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36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5" fillId="0" borderId="31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166" fontId="15" fillId="0" borderId="10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left" vertical="center"/>
    </xf>
    <xf numFmtId="165" fontId="16" fillId="0" borderId="11" xfId="3" applyNumberFormat="1" applyFont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 wrapText="1"/>
    </xf>
    <xf numFmtId="0" fontId="16" fillId="5" borderId="22" xfId="0" applyFont="1" applyFill="1" applyBorder="1" applyAlignment="1">
      <alignment horizontal="left" vertical="center" wrapText="1"/>
    </xf>
    <xf numFmtId="0" fontId="16" fillId="5" borderId="37" xfId="0" applyFont="1" applyFill="1" applyBorder="1" applyAlignment="1">
      <alignment horizontal="center" vertical="center" wrapText="1"/>
    </xf>
    <xf numFmtId="9" fontId="16" fillId="0" borderId="10" xfId="1" applyFont="1" applyBorder="1" applyAlignment="1" applyProtection="1">
      <alignment horizontal="left" vertical="center"/>
    </xf>
    <xf numFmtId="49" fontId="16" fillId="0" borderId="9" xfId="0" applyNumberFormat="1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44" fontId="16" fillId="5" borderId="15" xfId="5" applyFont="1" applyFill="1" applyBorder="1" applyAlignment="1" applyProtection="1">
      <alignment horizontal="center" vertical="center" wrapText="1"/>
    </xf>
    <xf numFmtId="44" fontId="16" fillId="0" borderId="11" xfId="5" applyFont="1" applyBorder="1" applyAlignment="1" applyProtection="1">
      <alignment horizontal="center" vertical="center" wrapText="1"/>
    </xf>
    <xf numFmtId="49" fontId="23" fillId="2" borderId="28" xfId="0" applyNumberFormat="1" applyFont="1" applyFill="1" applyBorder="1" applyAlignment="1">
      <alignment horizontal="center" vertical="center"/>
    </xf>
    <xf numFmtId="49" fontId="23" fillId="2" borderId="52" xfId="0" applyNumberFormat="1" applyFont="1" applyFill="1" applyBorder="1" applyAlignment="1">
      <alignment horizontal="center" vertical="center"/>
    </xf>
    <xf numFmtId="49" fontId="23" fillId="2" borderId="39" xfId="0" applyNumberFormat="1" applyFont="1" applyFill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44" fontId="16" fillId="2" borderId="28" xfId="5" applyFont="1" applyFill="1" applyBorder="1" applyAlignment="1" applyProtection="1">
      <alignment vertical="center"/>
    </xf>
    <xf numFmtId="44" fontId="16" fillId="2" borderId="52" xfId="5" applyFont="1" applyFill="1" applyBorder="1" applyAlignment="1" applyProtection="1">
      <alignment vertical="center"/>
    </xf>
    <xf numFmtId="44" fontId="16" fillId="2" borderId="39" xfId="5" applyFont="1" applyFill="1" applyBorder="1" applyAlignment="1" applyProtection="1">
      <alignment vertical="center"/>
    </xf>
    <xf numFmtId="0" fontId="16" fillId="5" borderId="16" xfId="3" applyFont="1" applyFill="1" applyBorder="1" applyAlignment="1">
      <alignment horizontal="center" vertical="center" wrapText="1"/>
    </xf>
    <xf numFmtId="0" fontId="27" fillId="3" borderId="16" xfId="3" applyFont="1" applyFill="1" applyBorder="1" applyAlignment="1">
      <alignment horizontal="center" vertical="center" wrapText="1"/>
    </xf>
    <xf numFmtId="0" fontId="27" fillId="3" borderId="28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27" fillId="3" borderId="23" xfId="3" applyFont="1" applyFill="1" applyBorder="1" applyAlignment="1">
      <alignment horizontal="center" vertical="center" wrapText="1"/>
    </xf>
    <xf numFmtId="0" fontId="2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27" fillId="3" borderId="18" xfId="3" applyFont="1" applyFill="1" applyBorder="1" applyAlignment="1">
      <alignment horizontal="center" vertical="center" wrapText="1"/>
    </xf>
    <xf numFmtId="0" fontId="27" fillId="3" borderId="39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vertical="center"/>
    </xf>
    <xf numFmtId="0" fontId="16" fillId="2" borderId="11" xfId="0" applyFont="1" applyFill="1" applyBorder="1" applyAlignment="1">
      <alignment horizontal="center" vertical="center"/>
    </xf>
    <xf numFmtId="44" fontId="0" fillId="0" borderId="11" xfId="5" applyFont="1" applyBorder="1" applyAlignment="1" applyProtection="1">
      <alignment horizontal="center" vertical="center"/>
    </xf>
    <xf numFmtId="44" fontId="25" fillId="0" borderId="11" xfId="5" applyFont="1" applyBorder="1" applyAlignment="1" applyProtection="1">
      <alignment vertical="center"/>
    </xf>
    <xf numFmtId="44" fontId="0" fillId="0" borderId="11" xfId="5" applyFont="1" applyBorder="1" applyProtection="1"/>
    <xf numFmtId="0" fontId="16" fillId="2" borderId="10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44" fontId="0" fillId="0" borderId="10" xfId="5" applyFont="1" applyBorder="1" applyAlignment="1" applyProtection="1">
      <alignment horizontal="center" vertical="center"/>
    </xf>
    <xf numFmtId="44" fontId="25" fillId="0" borderId="10" xfId="5" applyFont="1" applyBorder="1" applyAlignment="1" applyProtection="1">
      <alignment vertical="center"/>
    </xf>
    <xf numFmtId="44" fontId="0" fillId="0" borderId="0" xfId="0" applyNumberFormat="1"/>
    <xf numFmtId="44" fontId="25" fillId="0" borderId="10" xfId="5" applyFont="1" applyBorder="1" applyAlignment="1" applyProtection="1"/>
    <xf numFmtId="0" fontId="18" fillId="0" borderId="0" xfId="0" applyFont="1"/>
    <xf numFmtId="0" fontId="0" fillId="8" borderId="10" xfId="0" applyFill="1" applyBorder="1"/>
    <xf numFmtId="0" fontId="0" fillId="0" borderId="12" xfId="0" applyBorder="1" applyAlignment="1">
      <alignment horizontal="left" vertical="center"/>
    </xf>
    <xf numFmtId="44" fontId="0" fillId="0" borderId="10" xfId="5" applyFont="1" applyBorder="1" applyProtection="1"/>
    <xf numFmtId="0" fontId="0" fillId="0" borderId="21" xfId="0" applyBorder="1" applyAlignment="1">
      <alignment horizontal="left" vertical="center"/>
    </xf>
    <xf numFmtId="10" fontId="0" fillId="0" borderId="10" xfId="1" applyNumberFormat="1" applyFont="1" applyBorder="1" applyProtection="1"/>
    <xf numFmtId="0" fontId="0" fillId="0" borderId="11" xfId="0" applyBorder="1" applyAlignment="1">
      <alignment horizontal="left" vertical="center"/>
    </xf>
    <xf numFmtId="44" fontId="19" fillId="0" borderId="50" xfId="5" applyFont="1" applyFill="1" applyBorder="1" applyAlignment="1" applyProtection="1">
      <alignment horizontal="left" vertical="center" wrapText="1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23" fillId="3" borderId="10" xfId="0" applyNumberFormat="1" applyFont="1" applyFill="1" applyBorder="1" applyAlignment="1">
      <alignment horizontal="center" vertical="center"/>
    </xf>
    <xf numFmtId="49" fontId="23" fillId="2" borderId="10" xfId="0" applyNumberFormat="1" applyFont="1" applyFill="1" applyBorder="1" applyAlignment="1">
      <alignment vertical="center"/>
    </xf>
    <xf numFmtId="49" fontId="23" fillId="0" borderId="54" xfId="0" applyNumberFormat="1" applyFont="1" applyBorder="1" applyAlignment="1">
      <alignment horizontal="center" vertical="center"/>
    </xf>
    <xf numFmtId="49" fontId="23" fillId="0" borderId="58" xfId="0" applyNumberFormat="1" applyFont="1" applyBorder="1" applyAlignment="1">
      <alignment horizontal="center" vertical="center"/>
    </xf>
    <xf numFmtId="49" fontId="23" fillId="0" borderId="46" xfId="0" applyNumberFormat="1" applyFont="1" applyBorder="1" applyAlignment="1">
      <alignment horizontal="center" vertical="center"/>
    </xf>
    <xf numFmtId="0" fontId="23" fillId="3" borderId="10" xfId="0" applyFont="1" applyFill="1" applyBorder="1" applyAlignment="1">
      <alignment horizontal="left" vertical="center"/>
    </xf>
    <xf numFmtId="49" fontId="23" fillId="3" borderId="10" xfId="0" applyNumberFormat="1" applyFont="1" applyFill="1" applyBorder="1" applyAlignment="1">
      <alignment horizontal="left" vertical="center"/>
    </xf>
    <xf numFmtId="14" fontId="16" fillId="0" borderId="10" xfId="3" applyNumberFormat="1" applyFont="1" applyBorder="1" applyAlignment="1">
      <alignment vertical="center" wrapText="1"/>
    </xf>
    <xf numFmtId="44" fontId="0" fillId="0" borderId="10" xfId="5" applyFont="1" applyBorder="1" applyAlignment="1" applyProtection="1">
      <alignment vertical="center"/>
    </xf>
    <xf numFmtId="0" fontId="16" fillId="5" borderId="63" xfId="3" applyFont="1" applyFill="1" applyBorder="1" applyAlignment="1">
      <alignment vertical="center" wrapText="1"/>
    </xf>
    <xf numFmtId="0" fontId="16" fillId="5" borderId="60" xfId="3" applyFont="1" applyFill="1" applyBorder="1" applyAlignment="1">
      <alignment vertical="center" wrapText="1"/>
    </xf>
    <xf numFmtId="44" fontId="16" fillId="0" borderId="10" xfId="5" applyFont="1" applyBorder="1" applyAlignment="1" applyProtection="1">
      <alignment horizontal="center" vertical="center" wrapText="1"/>
    </xf>
    <xf numFmtId="0" fontId="16" fillId="0" borderId="10" xfId="3" applyFont="1" applyBorder="1" applyAlignment="1">
      <alignment horizontal="center" vertical="center" wrapText="1"/>
    </xf>
    <xf numFmtId="49" fontId="16" fillId="0" borderId="42" xfId="0" applyNumberFormat="1" applyFont="1" applyBorder="1" applyAlignment="1">
      <alignment horizontal="left" vertical="center"/>
    </xf>
    <xf numFmtId="0" fontId="16" fillId="5" borderId="15" xfId="3" applyFont="1" applyFill="1" applyBorder="1" applyAlignment="1">
      <alignment horizontal="center" vertical="center"/>
    </xf>
    <xf numFmtId="44" fontId="0" fillId="2" borderId="10" xfId="5" applyFont="1" applyFill="1" applyBorder="1" applyAlignment="1" applyProtection="1">
      <alignment vertical="center"/>
    </xf>
    <xf numFmtId="44" fontId="0" fillId="2" borderId="10" xfId="5" applyFont="1" applyFill="1" applyBorder="1" applyProtection="1"/>
    <xf numFmtId="0" fontId="9" fillId="2" borderId="0" xfId="2" applyFont="1" applyFill="1" applyAlignment="1">
      <alignment horizontal="right" vertical="center"/>
    </xf>
    <xf numFmtId="0" fontId="9" fillId="2" borderId="0" xfId="2" applyFont="1" applyFill="1" applyAlignment="1">
      <alignment vertical="center"/>
    </xf>
    <xf numFmtId="0" fontId="10" fillId="2" borderId="0" xfId="2" applyFont="1" applyFill="1" applyAlignment="1">
      <alignment horizontal="right" vertical="center"/>
    </xf>
    <xf numFmtId="0" fontId="10" fillId="6" borderId="0" xfId="2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6" fillId="6" borderId="0" xfId="0" applyFont="1" applyFill="1" applyAlignment="1">
      <alignment horizontal="center" vertical="center"/>
    </xf>
    <xf numFmtId="0" fontId="20" fillId="2" borderId="6" xfId="0" applyFont="1" applyFill="1" applyBorder="1"/>
    <xf numFmtId="0" fontId="20" fillId="2" borderId="0" xfId="0" applyFont="1" applyFill="1"/>
    <xf numFmtId="0" fontId="20" fillId="6" borderId="0" xfId="0" applyFont="1" applyFill="1" applyAlignment="1">
      <alignment horizontal="center"/>
    </xf>
    <xf numFmtId="0" fontId="20" fillId="6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6" fillId="2" borderId="0" xfId="0" applyFont="1" applyFill="1"/>
    <xf numFmtId="0" fontId="29" fillId="2" borderId="11" xfId="0" applyFont="1" applyFill="1" applyBorder="1" applyAlignment="1">
      <alignment horizontal="center" vertical="center"/>
    </xf>
    <xf numFmtId="0" fontId="6" fillId="6" borderId="0" xfId="0" applyFont="1" applyFill="1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30" fillId="2" borderId="0" xfId="0" applyFont="1" applyFill="1"/>
    <xf numFmtId="0" fontId="31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 vertical="center"/>
    </xf>
    <xf numFmtId="0" fontId="24" fillId="6" borderId="9" xfId="0" applyFont="1" applyFill="1" applyBorder="1" applyAlignment="1">
      <alignment vertical="center"/>
    </xf>
    <xf numFmtId="0" fontId="24" fillId="6" borderId="7" xfId="0" applyFont="1" applyFill="1" applyBorder="1" applyAlignment="1">
      <alignment vertical="center"/>
    </xf>
    <xf numFmtId="0" fontId="24" fillId="6" borderId="9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8" fillId="2" borderId="0" xfId="0" applyFont="1" applyFill="1"/>
    <xf numFmtId="0" fontId="2" fillId="6" borderId="10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9" fontId="2" fillId="6" borderId="10" xfId="1" applyFont="1" applyFill="1" applyBorder="1" applyAlignment="1" applyProtection="1">
      <alignment vertical="center"/>
    </xf>
    <xf numFmtId="0" fontId="29" fillId="2" borderId="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2" fillId="6" borderId="10" xfId="0" applyFont="1" applyFill="1" applyBorder="1" applyAlignment="1">
      <alignment horizontal="left" vertical="center" wrapText="1"/>
    </xf>
    <xf numFmtId="164" fontId="2" fillId="6" borderId="10" xfId="0" applyNumberFormat="1" applyFont="1" applyFill="1" applyBorder="1" applyAlignment="1">
      <alignment horizontal="left" vertical="center"/>
    </xf>
    <xf numFmtId="9" fontId="2" fillId="6" borderId="10" xfId="1" applyFont="1" applyFill="1" applyBorder="1" applyAlignment="1" applyProtection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3" fillId="2" borderId="0" xfId="0" applyFont="1" applyFill="1"/>
    <xf numFmtId="0" fontId="32" fillId="2" borderId="0" xfId="0" applyFont="1" applyFill="1" applyAlignment="1">
      <alignment vertical="center"/>
    </xf>
    <xf numFmtId="0" fontId="24" fillId="6" borderId="9" xfId="0" applyFont="1" applyFill="1" applyBorder="1" applyAlignment="1">
      <alignment horizontal="left" vertical="center"/>
    </xf>
    <xf numFmtId="44" fontId="2" fillId="6" borderId="10" xfId="5" applyFont="1" applyFill="1" applyBorder="1" applyAlignment="1" applyProtection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12" xfId="0" applyFont="1" applyFill="1" applyBorder="1" applyAlignment="1">
      <alignment horizontal="right" vertical="center"/>
    </xf>
    <xf numFmtId="0" fontId="36" fillId="6" borderId="9" xfId="0" applyFont="1" applyFill="1" applyBorder="1" applyAlignment="1">
      <alignment vertical="center"/>
    </xf>
    <xf numFmtId="0" fontId="36" fillId="6" borderId="15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left" vertical="center" wrapText="1"/>
    </xf>
    <xf numFmtId="0" fontId="36" fillId="6" borderId="10" xfId="0" applyFont="1" applyFill="1" applyBorder="1" applyAlignment="1">
      <alignment vertical="center"/>
    </xf>
    <xf numFmtId="0" fontId="24" fillId="6" borderId="11" xfId="0" applyFont="1" applyFill="1" applyBorder="1" applyAlignment="1">
      <alignment horizontal="left" vertical="center" wrapText="1"/>
    </xf>
    <xf numFmtId="0" fontId="24" fillId="6" borderId="10" xfId="0" applyFont="1" applyFill="1" applyBorder="1" applyAlignment="1">
      <alignment vertical="center"/>
    </xf>
    <xf numFmtId="0" fontId="24" fillId="6" borderId="10" xfId="0" applyFont="1" applyFill="1" applyBorder="1" applyAlignment="1">
      <alignment horizontal="left" vertical="center" wrapText="1"/>
    </xf>
    <xf numFmtId="44" fontId="24" fillId="6" borderId="10" xfId="0" applyNumberFormat="1" applyFont="1" applyFill="1" applyBorder="1" applyAlignment="1">
      <alignment horizontal="right" vertical="center"/>
    </xf>
    <xf numFmtId="0" fontId="8" fillId="6" borderId="10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44" fontId="2" fillId="6" borderId="12" xfId="5" applyFont="1" applyFill="1" applyBorder="1" applyAlignment="1" applyProtection="1">
      <alignment horizontal="right" vertical="center"/>
    </xf>
    <xf numFmtId="44" fontId="2" fillId="6" borderId="10" xfId="5" applyFont="1" applyFill="1" applyBorder="1" applyAlignment="1" applyProtection="1">
      <alignment horizontal="right" vertical="center"/>
    </xf>
    <xf numFmtId="0" fontId="2" fillId="6" borderId="65" xfId="0" applyFont="1" applyFill="1" applyBorder="1" applyAlignment="1">
      <alignment vertical="center"/>
    </xf>
    <xf numFmtId="44" fontId="2" fillId="6" borderId="67" xfId="0" applyNumberFormat="1" applyFont="1" applyFill="1" applyBorder="1" applyAlignment="1">
      <alignment vertical="center"/>
    </xf>
    <xf numFmtId="0" fontId="38" fillId="10" borderId="0" xfId="0" applyFont="1" applyFill="1" applyAlignment="1">
      <alignment vertical="center"/>
    </xf>
    <xf numFmtId="0" fontId="8" fillId="10" borderId="0" xfId="0" applyFont="1" applyFill="1" applyAlignment="1">
      <alignment vertical="center"/>
    </xf>
    <xf numFmtId="44" fontId="2" fillId="6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34" fillId="2" borderId="0" xfId="0" applyFont="1" applyFill="1"/>
    <xf numFmtId="0" fontId="2" fillId="6" borderId="10" xfId="0" applyFont="1" applyFill="1" applyBorder="1" applyAlignment="1">
      <alignment horizontal="right" vertical="center"/>
    </xf>
    <xf numFmtId="44" fontId="37" fillId="6" borderId="10" xfId="5" applyFont="1" applyFill="1" applyBorder="1" applyAlignment="1" applyProtection="1">
      <alignment horizontal="right" vertical="center"/>
    </xf>
    <xf numFmtId="0" fontId="8" fillId="2" borderId="0" xfId="0" applyFont="1" applyFill="1"/>
    <xf numFmtId="164" fontId="2" fillId="6" borderId="10" xfId="5" applyNumberFormat="1" applyFont="1" applyFill="1" applyBorder="1" applyAlignment="1" applyProtection="1">
      <alignment horizontal="left" vertical="center"/>
    </xf>
    <xf numFmtId="164" fontId="2" fillId="6" borderId="7" xfId="5" applyNumberFormat="1" applyFont="1" applyFill="1" applyBorder="1" applyAlignment="1" applyProtection="1">
      <alignment horizontal="left" vertical="center"/>
    </xf>
    <xf numFmtId="44" fontId="2" fillId="6" borderId="10" xfId="0" applyNumberFormat="1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vertical="center"/>
    </xf>
    <xf numFmtId="44" fontId="37" fillId="6" borderId="12" xfId="5" applyFont="1" applyFill="1" applyBorder="1" applyAlignment="1" applyProtection="1">
      <alignment horizontal="right" vertical="center"/>
    </xf>
    <xf numFmtId="164" fontId="2" fillId="6" borderId="0" xfId="0" applyNumberFormat="1" applyFont="1" applyFill="1" applyAlignment="1">
      <alignment vertical="center"/>
    </xf>
    <xf numFmtId="44" fontId="2" fillId="6" borderId="10" xfId="0" applyNumberFormat="1" applyFont="1" applyFill="1" applyBorder="1" applyAlignment="1">
      <alignment horizontal="left" vertical="center"/>
    </xf>
    <xf numFmtId="0" fontId="31" fillId="2" borderId="0" xfId="0" applyFont="1" applyFill="1"/>
    <xf numFmtId="0" fontId="31" fillId="2" borderId="0" xfId="0" applyFont="1" applyFill="1" applyAlignment="1">
      <alignment vertical="center"/>
    </xf>
    <xf numFmtId="44" fontId="2" fillId="6" borderId="10" xfId="5" applyFont="1" applyFill="1" applyBorder="1" applyAlignment="1" applyProtection="1">
      <alignment horizontal="left" vertical="center"/>
    </xf>
    <xf numFmtId="0" fontId="36" fillId="6" borderId="10" xfId="0" applyFont="1" applyFill="1" applyBorder="1" applyAlignment="1">
      <alignment horizontal="left" vertical="center"/>
    </xf>
    <xf numFmtId="44" fontId="36" fillId="6" borderId="10" xfId="5" applyFont="1" applyFill="1" applyBorder="1" applyAlignment="1" applyProtection="1">
      <alignment horizontal="left" vertical="center"/>
    </xf>
    <xf numFmtId="167" fontId="7" fillId="2" borderId="0" xfId="1" applyNumberFormat="1" applyFont="1" applyFill="1" applyAlignment="1" applyProtection="1">
      <alignment vertical="center"/>
    </xf>
    <xf numFmtId="0" fontId="1" fillId="6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44" fontId="31" fillId="11" borderId="5" xfId="0" applyNumberFormat="1" applyFont="1" applyFill="1" applyBorder="1" applyAlignment="1">
      <alignment horizontal="center" vertical="center"/>
    </xf>
    <xf numFmtId="0" fontId="31" fillId="11" borderId="20" xfId="0" applyFont="1" applyFill="1" applyBorder="1" applyAlignment="1">
      <alignment horizontal="center" vertical="center"/>
    </xf>
    <xf numFmtId="0" fontId="31" fillId="11" borderId="14" xfId="0" applyFont="1" applyFill="1" applyBorder="1" applyAlignment="1">
      <alignment horizontal="center" vertical="center"/>
    </xf>
    <xf numFmtId="0" fontId="31" fillId="11" borderId="19" xfId="0" applyFont="1" applyFill="1" applyBorder="1" applyAlignment="1">
      <alignment horizontal="center" vertical="center"/>
    </xf>
    <xf numFmtId="0" fontId="28" fillId="11" borderId="5" xfId="0" applyFont="1" applyFill="1" applyBorder="1" applyAlignment="1">
      <alignment horizontal="center" vertical="center" wrapText="1"/>
    </xf>
    <xf numFmtId="0" fontId="28" fillId="11" borderId="20" xfId="0" applyFont="1" applyFill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 wrapText="1"/>
    </xf>
    <xf numFmtId="0" fontId="28" fillId="11" borderId="19" xfId="0" applyFont="1" applyFill="1" applyBorder="1" applyAlignment="1">
      <alignment horizontal="center" vertical="center" wrapText="1"/>
    </xf>
    <xf numFmtId="0" fontId="28" fillId="11" borderId="5" xfId="0" applyFont="1" applyFill="1" applyBorder="1" applyAlignment="1">
      <alignment horizontal="center" vertical="center"/>
    </xf>
    <xf numFmtId="0" fontId="28" fillId="11" borderId="20" xfId="0" applyFont="1" applyFill="1" applyBorder="1" applyAlignment="1">
      <alignment horizontal="center" vertical="center"/>
    </xf>
    <xf numFmtId="0" fontId="28" fillId="11" borderId="14" xfId="0" applyFont="1" applyFill="1" applyBorder="1" applyAlignment="1">
      <alignment horizontal="center" vertical="center"/>
    </xf>
    <xf numFmtId="0" fontId="28" fillId="11" borderId="19" xfId="0" applyFont="1" applyFill="1" applyBorder="1" applyAlignment="1">
      <alignment horizontal="center" vertical="center"/>
    </xf>
    <xf numFmtId="0" fontId="35" fillId="9" borderId="25" xfId="0" applyFont="1" applyFill="1" applyBorder="1" applyAlignment="1">
      <alignment horizontal="center" vertical="center"/>
    </xf>
    <xf numFmtId="0" fontId="35" fillId="9" borderId="26" xfId="0" applyFont="1" applyFill="1" applyBorder="1" applyAlignment="1">
      <alignment horizontal="center" vertical="center"/>
    </xf>
    <xf numFmtId="0" fontId="35" fillId="9" borderId="27" xfId="0" applyFont="1" applyFill="1" applyBorder="1" applyAlignment="1">
      <alignment horizontal="center" vertical="center"/>
    </xf>
    <xf numFmtId="44" fontId="31" fillId="11" borderId="5" xfId="5" applyFont="1" applyFill="1" applyBorder="1" applyAlignment="1" applyProtection="1">
      <alignment horizontal="center" vertical="center"/>
    </xf>
    <xf numFmtId="44" fontId="31" fillId="11" borderId="20" xfId="5" applyFont="1" applyFill="1" applyBorder="1" applyAlignment="1" applyProtection="1">
      <alignment horizontal="center" vertical="center"/>
    </xf>
    <xf numFmtId="44" fontId="31" fillId="11" borderId="14" xfId="5" applyFont="1" applyFill="1" applyBorder="1" applyAlignment="1" applyProtection="1">
      <alignment horizontal="center" vertical="center"/>
    </xf>
    <xf numFmtId="44" fontId="31" fillId="11" borderId="19" xfId="5" applyFont="1" applyFill="1" applyBorder="1" applyAlignment="1" applyProtection="1">
      <alignment horizontal="center" vertical="center"/>
    </xf>
    <xf numFmtId="0" fontId="10" fillId="2" borderId="0" xfId="2" applyFont="1" applyFill="1" applyAlignment="1">
      <alignment horizontal="right" vertical="center"/>
    </xf>
    <xf numFmtId="0" fontId="30" fillId="2" borderId="5" xfId="0" applyFont="1" applyFill="1" applyBorder="1" applyAlignment="1" applyProtection="1">
      <alignment horizontal="center" vertical="center"/>
      <protection locked="0"/>
    </xf>
    <xf numFmtId="0" fontId="30" fillId="2" borderId="20" xfId="0" applyFont="1" applyFill="1" applyBorder="1" applyAlignment="1" applyProtection="1">
      <alignment horizontal="center" vertical="center"/>
      <protection locked="0"/>
    </xf>
    <xf numFmtId="0" fontId="30" fillId="2" borderId="14" xfId="0" applyFont="1" applyFill="1" applyBorder="1" applyAlignment="1" applyProtection="1">
      <alignment horizontal="center" vertical="center"/>
      <protection locked="0"/>
    </xf>
    <xf numFmtId="0" fontId="30" fillId="2" borderId="19" xfId="0" applyFont="1" applyFill="1" applyBorder="1" applyAlignment="1" applyProtection="1">
      <alignment horizontal="center" vertical="center"/>
      <protection locked="0"/>
    </xf>
    <xf numFmtId="0" fontId="24" fillId="6" borderId="9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164" fontId="28" fillId="11" borderId="5" xfId="0" applyNumberFormat="1" applyFont="1" applyFill="1" applyBorder="1" applyAlignment="1">
      <alignment horizontal="center" vertical="center"/>
    </xf>
    <xf numFmtId="164" fontId="28" fillId="11" borderId="20" xfId="0" applyNumberFormat="1" applyFont="1" applyFill="1" applyBorder="1" applyAlignment="1">
      <alignment horizontal="center" vertical="center"/>
    </xf>
    <xf numFmtId="164" fontId="28" fillId="11" borderId="14" xfId="0" applyNumberFormat="1" applyFont="1" applyFill="1" applyBorder="1" applyAlignment="1">
      <alignment horizontal="center" vertical="center"/>
    </xf>
    <xf numFmtId="164" fontId="28" fillId="11" borderId="19" xfId="0" applyNumberFormat="1" applyFont="1" applyFill="1" applyBorder="1" applyAlignment="1">
      <alignment horizontal="center" vertical="center"/>
    </xf>
    <xf numFmtId="9" fontId="28" fillId="11" borderId="5" xfId="0" applyNumberFormat="1" applyFont="1" applyFill="1" applyBorder="1" applyAlignment="1">
      <alignment horizontal="center" vertical="center"/>
    </xf>
    <xf numFmtId="0" fontId="30" fillId="2" borderId="5" xfId="0" applyFont="1" applyFill="1" applyBorder="1" applyAlignment="1" applyProtection="1">
      <alignment horizontal="center" vertical="center" wrapText="1"/>
      <protection locked="0"/>
    </xf>
    <xf numFmtId="0" fontId="30" fillId="2" borderId="20" xfId="0" applyFont="1" applyFill="1" applyBorder="1" applyAlignment="1" applyProtection="1">
      <alignment horizontal="center" vertical="center" wrapText="1"/>
      <protection locked="0"/>
    </xf>
    <xf numFmtId="0" fontId="30" fillId="2" borderId="14" xfId="0" applyFont="1" applyFill="1" applyBorder="1" applyAlignment="1" applyProtection="1">
      <alignment horizontal="center" vertical="center" wrapText="1"/>
      <protection locked="0"/>
    </xf>
    <xf numFmtId="0" fontId="30" fillId="2" borderId="19" xfId="0" applyFont="1" applyFill="1" applyBorder="1" applyAlignment="1" applyProtection="1">
      <alignment horizontal="center" vertical="center" wrapText="1"/>
      <protection locked="0"/>
    </xf>
    <xf numFmtId="0" fontId="30" fillId="11" borderId="5" xfId="0" applyFont="1" applyFill="1" applyBorder="1" applyAlignment="1">
      <alignment horizontal="center" vertical="center"/>
    </xf>
    <xf numFmtId="0" fontId="30" fillId="11" borderId="20" xfId="0" applyFont="1" applyFill="1" applyBorder="1" applyAlignment="1">
      <alignment horizontal="center" vertical="center"/>
    </xf>
    <xf numFmtId="0" fontId="30" fillId="11" borderId="14" xfId="0" applyFont="1" applyFill="1" applyBorder="1" applyAlignment="1">
      <alignment horizontal="center" vertical="center"/>
    </xf>
    <xf numFmtId="0" fontId="30" fillId="11" borderId="19" xfId="0" applyFont="1" applyFill="1" applyBorder="1" applyAlignment="1">
      <alignment horizontal="center" vertical="center"/>
    </xf>
    <xf numFmtId="164" fontId="30" fillId="2" borderId="5" xfId="5" applyNumberFormat="1" applyFont="1" applyFill="1" applyBorder="1" applyAlignment="1" applyProtection="1">
      <alignment horizontal="center" vertical="center" wrapText="1"/>
      <protection locked="0"/>
    </xf>
    <xf numFmtId="164" fontId="30" fillId="2" borderId="20" xfId="5" applyNumberFormat="1" applyFont="1" applyFill="1" applyBorder="1" applyAlignment="1" applyProtection="1">
      <alignment horizontal="center" vertical="center" wrapText="1"/>
      <protection locked="0"/>
    </xf>
    <xf numFmtId="164" fontId="30" fillId="2" borderId="14" xfId="5" applyNumberFormat="1" applyFont="1" applyFill="1" applyBorder="1" applyAlignment="1" applyProtection="1">
      <alignment horizontal="center" vertical="center" wrapText="1"/>
      <protection locked="0"/>
    </xf>
    <xf numFmtId="164" fontId="30" fillId="2" borderId="19" xfId="5" applyNumberFormat="1" applyFont="1" applyFill="1" applyBorder="1" applyAlignment="1" applyProtection="1">
      <alignment horizontal="center" vertical="center" wrapText="1"/>
      <protection locked="0"/>
    </xf>
    <xf numFmtId="9" fontId="28" fillId="2" borderId="5" xfId="0" applyNumberFormat="1" applyFont="1" applyFill="1" applyBorder="1" applyAlignment="1" applyProtection="1">
      <alignment horizontal="center" vertical="center"/>
      <protection locked="0"/>
    </xf>
    <xf numFmtId="9" fontId="28" fillId="2" borderId="20" xfId="0" applyNumberFormat="1" applyFont="1" applyFill="1" applyBorder="1" applyAlignment="1" applyProtection="1">
      <alignment horizontal="center" vertical="center"/>
      <protection locked="0"/>
    </xf>
    <xf numFmtId="9" fontId="28" fillId="2" borderId="14" xfId="0" applyNumberFormat="1" applyFont="1" applyFill="1" applyBorder="1" applyAlignment="1" applyProtection="1">
      <alignment horizontal="center" vertical="center"/>
      <protection locked="0"/>
    </xf>
    <xf numFmtId="9" fontId="28" fillId="2" borderId="19" xfId="0" applyNumberFormat="1" applyFont="1" applyFill="1" applyBorder="1" applyAlignment="1" applyProtection="1">
      <alignment horizontal="center" vertical="center"/>
      <protection locked="0"/>
    </xf>
    <xf numFmtId="0" fontId="30" fillId="11" borderId="5" xfId="0" applyFont="1" applyFill="1" applyBorder="1" applyAlignment="1">
      <alignment horizontal="center" vertical="center" wrapText="1"/>
    </xf>
    <xf numFmtId="0" fontId="30" fillId="11" borderId="20" xfId="0" applyFont="1" applyFill="1" applyBorder="1" applyAlignment="1">
      <alignment horizontal="center" vertical="center" wrapText="1"/>
    </xf>
    <xf numFmtId="0" fontId="30" fillId="11" borderId="14" xfId="0" applyFont="1" applyFill="1" applyBorder="1" applyAlignment="1">
      <alignment horizontal="center" vertical="center" wrapText="1"/>
    </xf>
    <xf numFmtId="0" fontId="30" fillId="11" borderId="19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center"/>
    </xf>
    <xf numFmtId="14" fontId="16" fillId="0" borderId="40" xfId="3" applyNumberFormat="1" applyFont="1" applyBorder="1" applyAlignment="1">
      <alignment horizontal="left" vertical="center" wrapText="1"/>
    </xf>
    <xf numFmtId="14" fontId="16" fillId="0" borderId="11" xfId="3" applyNumberFormat="1" applyFont="1" applyBorder="1" applyAlignment="1">
      <alignment horizontal="left" vertical="center" wrapText="1"/>
    </xf>
    <xf numFmtId="0" fontId="16" fillId="5" borderId="22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65" xfId="0" applyFont="1" applyFill="1" applyBorder="1" applyAlignment="1">
      <alignment horizontal="center" vertical="center"/>
    </xf>
    <xf numFmtId="0" fontId="16" fillId="5" borderId="66" xfId="0" applyFont="1" applyFill="1" applyBorder="1" applyAlignment="1">
      <alignment horizontal="center" vertical="center"/>
    </xf>
    <xf numFmtId="0" fontId="16" fillId="5" borderId="67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6" fillId="5" borderId="22" xfId="3" applyFont="1" applyFill="1" applyBorder="1" applyAlignment="1">
      <alignment horizontal="center" vertical="center" wrapText="1"/>
    </xf>
    <xf numFmtId="0" fontId="16" fillId="5" borderId="38" xfId="3" applyFont="1" applyFill="1" applyBorder="1" applyAlignment="1">
      <alignment horizontal="center" vertical="center" wrapText="1"/>
    </xf>
    <xf numFmtId="0" fontId="16" fillId="5" borderId="37" xfId="3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/>
    </xf>
  </cellXfs>
  <cellStyles count="6">
    <cellStyle name="Moneda" xfId="5" builtinId="4"/>
    <cellStyle name="Moneda 2" xfId="4" xr:uid="{69E6CEF2-C397-4E44-86B0-A79524645478}"/>
    <cellStyle name="Normal" xfId="0" builtinId="0"/>
    <cellStyle name="Normal 2" xfId="2" xr:uid="{8235B7E1-EA1F-488A-A24C-A10F28D1C3B6}"/>
    <cellStyle name="Normal 2 2" xfId="3" xr:uid="{F8F58CE6-2290-4DCD-B726-B91B7DE6DACA}"/>
    <cellStyle name="Porcentaje" xfId="1" builtinId="5"/>
  </cellStyles>
  <dxfs count="16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1E4FF"/>
      <color rgb="FF0000CC"/>
      <color rgb="FF8F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91</xdr:row>
      <xdr:rowOff>119062</xdr:rowOff>
    </xdr:from>
    <xdr:to>
      <xdr:col>10</xdr:col>
      <xdr:colOff>378621</xdr:colOff>
      <xdr:row>96</xdr:row>
      <xdr:rowOff>124732</xdr:rowOff>
    </xdr:to>
    <xdr:sp macro="" textlink="">
      <xdr:nvSpPr>
        <xdr:cNvPr id="19" name="Rectangle 47" descr="Background">
          <a:extLst>
            <a:ext uri="{FF2B5EF4-FFF2-40B4-BE49-F238E27FC236}">
              <a16:creationId xmlns:a16="http://schemas.microsoft.com/office/drawing/2014/main" id="{8218B28C-0BB5-425F-BE9E-678940429430}"/>
            </a:ext>
          </a:extLst>
        </xdr:cNvPr>
        <xdr:cNvSpPr/>
      </xdr:nvSpPr>
      <xdr:spPr>
        <a:xfrm>
          <a:off x="5857875" y="18954750"/>
          <a:ext cx="3128965" cy="1053420"/>
        </a:xfrm>
        <a:prstGeom prst="rect">
          <a:avLst/>
        </a:prstGeom>
        <a:solidFill>
          <a:schemeClr val="bg1"/>
        </a:solidFill>
        <a:ln w="38100"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211931</xdr:colOff>
      <xdr:row>91</xdr:row>
      <xdr:rowOff>104775</xdr:rowOff>
    </xdr:from>
    <xdr:to>
      <xdr:col>5</xdr:col>
      <xdr:colOff>650084</xdr:colOff>
      <xdr:row>96</xdr:row>
      <xdr:rowOff>110445</xdr:rowOff>
    </xdr:to>
    <xdr:sp macro="" textlink="">
      <xdr:nvSpPr>
        <xdr:cNvPr id="21" name="Rectangle 47" descr="Background">
          <a:extLst>
            <a:ext uri="{FF2B5EF4-FFF2-40B4-BE49-F238E27FC236}">
              <a16:creationId xmlns:a16="http://schemas.microsoft.com/office/drawing/2014/main" id="{8B609A93-FF26-4162-9A05-4AED89646EB9}"/>
            </a:ext>
          </a:extLst>
        </xdr:cNvPr>
        <xdr:cNvSpPr/>
      </xdr:nvSpPr>
      <xdr:spPr>
        <a:xfrm>
          <a:off x="1807369" y="18940463"/>
          <a:ext cx="3128965" cy="1053420"/>
        </a:xfrm>
        <a:prstGeom prst="rect">
          <a:avLst/>
        </a:prstGeom>
        <a:solidFill>
          <a:schemeClr val="bg1"/>
        </a:solidFill>
        <a:ln w="38100"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250218</xdr:colOff>
      <xdr:row>24</xdr:row>
      <xdr:rowOff>47624</xdr:rowOff>
    </xdr:from>
    <xdr:to>
      <xdr:col>5</xdr:col>
      <xdr:colOff>761999</xdr:colOff>
      <xdr:row>40</xdr:row>
      <xdr:rowOff>139700</xdr:rowOff>
    </xdr:to>
    <xdr:sp macro="" textlink="">
      <xdr:nvSpPr>
        <xdr:cNvPr id="38" name="Rectangle 47" descr="Background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250218" y="9356724"/>
          <a:ext cx="4804381" cy="3533776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2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273843</xdr:colOff>
      <xdr:row>24</xdr:row>
      <xdr:rowOff>117552</xdr:rowOff>
    </xdr:from>
    <xdr:to>
      <xdr:col>5</xdr:col>
      <xdr:colOff>761999</xdr:colOff>
      <xdr:row>27</xdr:row>
      <xdr:rowOff>4860</xdr:rowOff>
    </xdr:to>
    <xdr:sp macro="" textlink="">
      <xdr:nvSpPr>
        <xdr:cNvPr id="39" name="Step" descr="More information on the web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273843" y="1998740"/>
          <a:ext cx="4738687" cy="506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Sección I. Información General</a:t>
          </a:r>
          <a:endParaRPr lang="en-US" sz="1800" b="0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248238</xdr:colOff>
      <xdr:row>39</xdr:row>
      <xdr:rowOff>10583</xdr:rowOff>
    </xdr:from>
    <xdr:to>
      <xdr:col>5</xdr:col>
      <xdr:colOff>222250</xdr:colOff>
      <xdr:row>39</xdr:row>
      <xdr:rowOff>10745</xdr:rowOff>
    </xdr:to>
    <xdr:cxnSp macro="">
      <xdr:nvCxnSpPr>
        <xdr:cNvPr id="40" name="Straight Connector 51" descr="Decorative line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CxnSpPr>
          <a:cxnSpLocks/>
        </xdr:cNvCxnSpPr>
      </xdr:nvCxnSpPr>
      <xdr:spPr>
        <a:xfrm flipV="1">
          <a:off x="671571" y="4836583"/>
          <a:ext cx="3614679" cy="162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449718</xdr:colOff>
      <xdr:row>29</xdr:row>
      <xdr:rowOff>55186</xdr:rowOff>
    </xdr:from>
    <xdr:to>
      <xdr:col>5</xdr:col>
      <xdr:colOff>642937</xdr:colOff>
      <xdr:row>31</xdr:row>
      <xdr:rowOff>66830</xdr:rowOff>
    </xdr:to>
    <xdr:sp macro="" textlink="">
      <xdr:nvSpPr>
        <xdr:cNvPr id="41" name="Step" descr="Click the cell with the number 10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866437" y="2829342"/>
          <a:ext cx="3836531" cy="428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Selecciona la sucursal desde la cual estas cotizando.</a:t>
          </a:r>
        </a:p>
      </xdr:txBody>
    </xdr:sp>
    <xdr:clientData/>
  </xdr:twoCellAnchor>
  <xdr:twoCellAnchor>
    <xdr:from>
      <xdr:col>1</xdr:col>
      <xdr:colOff>33412</xdr:colOff>
      <xdr:row>29</xdr:row>
      <xdr:rowOff>42685</xdr:rowOff>
    </xdr:from>
    <xdr:to>
      <xdr:col>1</xdr:col>
      <xdr:colOff>407944</xdr:colOff>
      <xdr:row>31</xdr:row>
      <xdr:rowOff>3736</xdr:rowOff>
    </xdr:to>
    <xdr:sp macro="" textlink="">
      <xdr:nvSpPr>
        <xdr:cNvPr id="42" name="Oval 24" descr="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456745" y="2826102"/>
          <a:ext cx="374532" cy="36321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1</xdr:col>
      <xdr:colOff>461626</xdr:colOff>
      <xdr:row>34</xdr:row>
      <xdr:rowOff>2897</xdr:rowOff>
    </xdr:from>
    <xdr:to>
      <xdr:col>4</xdr:col>
      <xdr:colOff>554869</xdr:colOff>
      <xdr:row>36</xdr:row>
      <xdr:rowOff>71212</xdr:rowOff>
    </xdr:to>
    <xdr:sp macro="" textlink="">
      <xdr:nvSpPr>
        <xdr:cNvPr id="43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884959" y="3802314"/>
          <a:ext cx="2908410" cy="481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Indica</a:t>
          </a:r>
          <a:r>
            <a:rPr lang="en-US" sz="12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cual es el destino del material.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33412</xdr:colOff>
      <xdr:row>31</xdr:row>
      <xdr:rowOff>111905</xdr:rowOff>
    </xdr:from>
    <xdr:to>
      <xdr:col>1</xdr:col>
      <xdr:colOff>407944</xdr:colOff>
      <xdr:row>33</xdr:row>
      <xdr:rowOff>62372</xdr:rowOff>
    </xdr:to>
    <xdr:sp macro="" textlink="">
      <xdr:nvSpPr>
        <xdr:cNvPr id="44" name="Oval 26" descr="2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456745" y="3297488"/>
          <a:ext cx="374532" cy="36321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1</xdr:col>
      <xdr:colOff>458793</xdr:colOff>
      <xdr:row>31</xdr:row>
      <xdr:rowOff>132890</xdr:rowOff>
    </xdr:from>
    <xdr:to>
      <xdr:col>4</xdr:col>
      <xdr:colOff>76288</xdr:colOff>
      <xdr:row>33</xdr:row>
      <xdr:rowOff>18336</xdr:rowOff>
    </xdr:to>
    <xdr:sp macro="" textlink="">
      <xdr:nvSpPr>
        <xdr:cNvPr id="45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882126" y="3318473"/>
          <a:ext cx="2432662" cy="298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Selecciona a tu proveedor.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33412</xdr:colOff>
      <xdr:row>33</xdr:row>
      <xdr:rowOff>179754</xdr:rowOff>
    </xdr:from>
    <xdr:to>
      <xdr:col>1</xdr:col>
      <xdr:colOff>407944</xdr:colOff>
      <xdr:row>35</xdr:row>
      <xdr:rowOff>127198</xdr:rowOff>
    </xdr:to>
    <xdr:sp macro="" textlink="">
      <xdr:nvSpPr>
        <xdr:cNvPr id="46" name="Oval 28" descr="3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456745" y="3778087"/>
          <a:ext cx="374532" cy="360194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465062</xdr:colOff>
      <xdr:row>36</xdr:row>
      <xdr:rowOff>39533</xdr:rowOff>
    </xdr:from>
    <xdr:to>
      <xdr:col>5</xdr:col>
      <xdr:colOff>321469</xdr:colOff>
      <xdr:row>38</xdr:row>
      <xdr:rowOff>1896</xdr:rowOff>
    </xdr:to>
    <xdr:sp macro="" textlink="">
      <xdr:nvSpPr>
        <xdr:cNvPr id="47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/>
      </xdr:nvSpPr>
      <xdr:spPr>
        <a:xfrm>
          <a:off x="881781" y="4266252"/>
          <a:ext cx="3499719" cy="36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Selecciona la aduana de entrada de tu mercancía. 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41614</xdr:colOff>
      <xdr:row>36</xdr:row>
      <xdr:rowOff>29208</xdr:rowOff>
    </xdr:from>
    <xdr:to>
      <xdr:col>1</xdr:col>
      <xdr:colOff>416146</xdr:colOff>
      <xdr:row>37</xdr:row>
      <xdr:rowOff>188316</xdr:rowOff>
    </xdr:to>
    <xdr:sp macro="" textlink="">
      <xdr:nvSpPr>
        <xdr:cNvPr id="48" name="Oval 28" descr="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464947" y="4241375"/>
          <a:ext cx="374532" cy="360191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1</xdr:col>
      <xdr:colOff>536305</xdr:colOff>
      <xdr:row>26</xdr:row>
      <xdr:rowOff>153608</xdr:rowOff>
    </xdr:from>
    <xdr:to>
      <xdr:col>4</xdr:col>
      <xdr:colOff>589530</xdr:colOff>
      <xdr:row>29</xdr:row>
      <xdr:rowOff>58455</xdr:rowOff>
    </xdr:to>
    <xdr:sp macro="" textlink="">
      <xdr:nvSpPr>
        <xdr:cNvPr id="50" name="Step" descr="More information on the web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/>
      </xdr:nvSpPr>
      <xdr:spPr>
        <a:xfrm>
          <a:off x="1143524" y="2451514"/>
          <a:ext cx="2863100" cy="512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Instrucciones</a:t>
          </a:r>
          <a:r>
            <a:rPr kumimoji="0" lang="en-US" sz="20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:</a:t>
          </a:r>
          <a:endParaRPr lang="en-US" sz="2400" b="1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247310</xdr:colOff>
      <xdr:row>28</xdr:row>
      <xdr:rowOff>23813</xdr:rowOff>
    </xdr:from>
    <xdr:to>
      <xdr:col>7</xdr:col>
      <xdr:colOff>621842</xdr:colOff>
      <xdr:row>29</xdr:row>
      <xdr:rowOff>188214</xdr:rowOff>
    </xdr:to>
    <xdr:sp macro="" textlink="">
      <xdr:nvSpPr>
        <xdr:cNvPr id="51" name="Oval 24" descr="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807529" y="2595563"/>
          <a:ext cx="374532" cy="36680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7</xdr:col>
      <xdr:colOff>247310</xdr:colOff>
      <xdr:row>31</xdr:row>
      <xdr:rowOff>43141</xdr:rowOff>
    </xdr:from>
    <xdr:to>
      <xdr:col>7</xdr:col>
      <xdr:colOff>621842</xdr:colOff>
      <xdr:row>32</xdr:row>
      <xdr:rowOff>207542</xdr:rowOff>
    </xdr:to>
    <xdr:sp macro="" textlink="">
      <xdr:nvSpPr>
        <xdr:cNvPr id="52" name="Oval 26" descr="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807529" y="3234016"/>
          <a:ext cx="374532" cy="36680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7</xdr:col>
      <xdr:colOff>247310</xdr:colOff>
      <xdr:row>34</xdr:row>
      <xdr:rowOff>42198</xdr:rowOff>
    </xdr:from>
    <xdr:to>
      <xdr:col>7</xdr:col>
      <xdr:colOff>621842</xdr:colOff>
      <xdr:row>35</xdr:row>
      <xdr:rowOff>204331</xdr:rowOff>
    </xdr:to>
    <xdr:sp macro="" textlink="">
      <xdr:nvSpPr>
        <xdr:cNvPr id="53" name="Oval 28" descr="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807529" y="3852198"/>
          <a:ext cx="374532" cy="364539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7</xdr:col>
      <xdr:colOff>258536</xdr:colOff>
      <xdr:row>37</xdr:row>
      <xdr:rowOff>48888</xdr:rowOff>
    </xdr:from>
    <xdr:to>
      <xdr:col>7</xdr:col>
      <xdr:colOff>633068</xdr:colOff>
      <xdr:row>38</xdr:row>
      <xdr:rowOff>211021</xdr:rowOff>
    </xdr:to>
    <xdr:sp macro="" textlink="">
      <xdr:nvSpPr>
        <xdr:cNvPr id="54" name="Oval 28" descr="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818755" y="4478013"/>
          <a:ext cx="374532" cy="364539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7</xdr:col>
      <xdr:colOff>257174</xdr:colOff>
      <xdr:row>50</xdr:row>
      <xdr:rowOff>23710</xdr:rowOff>
    </xdr:from>
    <xdr:to>
      <xdr:col>7</xdr:col>
      <xdr:colOff>631706</xdr:colOff>
      <xdr:row>51</xdr:row>
      <xdr:rowOff>185843</xdr:rowOff>
    </xdr:to>
    <xdr:sp macro="" textlink="">
      <xdr:nvSpPr>
        <xdr:cNvPr id="115" name="Oval 24" descr="1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645603" y="12229317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7</xdr:col>
      <xdr:colOff>257174</xdr:colOff>
      <xdr:row>53</xdr:row>
      <xdr:rowOff>29430</xdr:rowOff>
    </xdr:from>
    <xdr:to>
      <xdr:col>7</xdr:col>
      <xdr:colOff>631706</xdr:colOff>
      <xdr:row>54</xdr:row>
      <xdr:rowOff>191563</xdr:rowOff>
    </xdr:to>
    <xdr:sp macro="" textlink="">
      <xdr:nvSpPr>
        <xdr:cNvPr id="116" name="Oval 26" descr="2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645603" y="12847359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7</xdr:col>
      <xdr:colOff>257174</xdr:colOff>
      <xdr:row>56</xdr:row>
      <xdr:rowOff>12613</xdr:rowOff>
    </xdr:from>
    <xdr:to>
      <xdr:col>7</xdr:col>
      <xdr:colOff>631706</xdr:colOff>
      <xdr:row>57</xdr:row>
      <xdr:rowOff>174746</xdr:rowOff>
    </xdr:to>
    <xdr:sp macro="" textlink="">
      <xdr:nvSpPr>
        <xdr:cNvPr id="117" name="Oval 28" descr="3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645603" y="13442863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7</xdr:col>
      <xdr:colOff>268400</xdr:colOff>
      <xdr:row>59</xdr:row>
      <xdr:rowOff>32911</xdr:rowOff>
    </xdr:from>
    <xdr:to>
      <xdr:col>7</xdr:col>
      <xdr:colOff>642932</xdr:colOff>
      <xdr:row>60</xdr:row>
      <xdr:rowOff>195044</xdr:rowOff>
    </xdr:to>
    <xdr:sp macro="" textlink="">
      <xdr:nvSpPr>
        <xdr:cNvPr id="118" name="Oval 28" descr="3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656829" y="13680875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7</xdr:col>
      <xdr:colOff>198893</xdr:colOff>
      <xdr:row>24</xdr:row>
      <xdr:rowOff>145034</xdr:rowOff>
    </xdr:from>
    <xdr:to>
      <xdr:col>12</xdr:col>
      <xdr:colOff>230643</xdr:colOff>
      <xdr:row>27</xdr:row>
      <xdr:rowOff>74161</xdr:rowOff>
    </xdr:to>
    <xdr:sp macro="" textlink="">
      <xdr:nvSpPr>
        <xdr:cNvPr id="119" name="Step" descr="Here’s how to use the fill handle in Excel: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/>
      </xdr:nvSpPr>
      <xdr:spPr>
        <a:xfrm>
          <a:off x="5949612" y="7884097"/>
          <a:ext cx="4413250" cy="548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Agrega tu información a cada una de las siguientes casillas:</a:t>
          </a:r>
        </a:p>
      </xdr:txBody>
    </xdr:sp>
    <xdr:clientData/>
  </xdr:twoCellAnchor>
  <xdr:twoCellAnchor>
    <xdr:from>
      <xdr:col>6</xdr:col>
      <xdr:colOff>398917</xdr:colOff>
      <xdr:row>26</xdr:row>
      <xdr:rowOff>119858</xdr:rowOff>
    </xdr:from>
    <xdr:to>
      <xdr:col>11</xdr:col>
      <xdr:colOff>664623</xdr:colOff>
      <xdr:row>26</xdr:row>
      <xdr:rowOff>119858</xdr:rowOff>
    </xdr:to>
    <xdr:cxnSp macro="">
      <xdr:nvCxnSpPr>
        <xdr:cNvPr id="120" name="Straight Connector 51" descr="Decorative line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CxnSpPr>
          <a:cxnSpLocks/>
        </xdr:cNvCxnSpPr>
      </xdr:nvCxnSpPr>
      <xdr:spPr>
        <a:xfrm>
          <a:off x="5485267" y="2158208"/>
          <a:ext cx="4456706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270782</xdr:colOff>
      <xdr:row>61</xdr:row>
      <xdr:rowOff>203113</xdr:rowOff>
    </xdr:from>
    <xdr:to>
      <xdr:col>7</xdr:col>
      <xdr:colOff>645314</xdr:colOff>
      <xdr:row>63</xdr:row>
      <xdr:rowOff>161139</xdr:rowOff>
    </xdr:to>
    <xdr:sp macro="" textlink="">
      <xdr:nvSpPr>
        <xdr:cNvPr id="6" name="Oval 28" descr="3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659211" y="14259292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5</a:t>
          </a:r>
        </a:p>
      </xdr:txBody>
    </xdr:sp>
    <xdr:clientData/>
  </xdr:twoCellAnchor>
  <xdr:twoCellAnchor>
    <xdr:from>
      <xdr:col>7</xdr:col>
      <xdr:colOff>219416</xdr:colOff>
      <xdr:row>73</xdr:row>
      <xdr:rowOff>11906</xdr:rowOff>
    </xdr:from>
    <xdr:to>
      <xdr:col>7</xdr:col>
      <xdr:colOff>593948</xdr:colOff>
      <xdr:row>74</xdr:row>
      <xdr:rowOff>174039</xdr:rowOff>
    </xdr:to>
    <xdr:sp macro="" textlink="">
      <xdr:nvSpPr>
        <xdr:cNvPr id="136" name="Oval 24" descr="1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481979" y="25026937"/>
          <a:ext cx="374532" cy="3645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7</xdr:col>
      <xdr:colOff>219416</xdr:colOff>
      <xdr:row>76</xdr:row>
      <xdr:rowOff>41438</xdr:rowOff>
    </xdr:from>
    <xdr:to>
      <xdr:col>7</xdr:col>
      <xdr:colOff>593948</xdr:colOff>
      <xdr:row>77</xdr:row>
      <xdr:rowOff>203572</xdr:rowOff>
    </xdr:to>
    <xdr:sp macro="" textlink="">
      <xdr:nvSpPr>
        <xdr:cNvPr id="137" name="Oval 26" descr="2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481979" y="27140063"/>
          <a:ext cx="374532" cy="3645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7</xdr:col>
      <xdr:colOff>219416</xdr:colOff>
      <xdr:row>79</xdr:row>
      <xdr:rowOff>38229</xdr:rowOff>
    </xdr:from>
    <xdr:to>
      <xdr:col>7</xdr:col>
      <xdr:colOff>593948</xdr:colOff>
      <xdr:row>80</xdr:row>
      <xdr:rowOff>198661</xdr:rowOff>
    </xdr:to>
    <xdr:sp macro="" textlink="">
      <xdr:nvSpPr>
        <xdr:cNvPr id="138" name="Oval 28" descr="3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481979" y="27755979"/>
          <a:ext cx="374532" cy="362838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7</xdr:col>
      <xdr:colOff>218735</xdr:colOff>
      <xdr:row>82</xdr:row>
      <xdr:rowOff>44919</xdr:rowOff>
    </xdr:from>
    <xdr:to>
      <xdr:col>7</xdr:col>
      <xdr:colOff>593267</xdr:colOff>
      <xdr:row>83</xdr:row>
      <xdr:rowOff>207052</xdr:rowOff>
    </xdr:to>
    <xdr:sp macro="" textlink="">
      <xdr:nvSpPr>
        <xdr:cNvPr id="139" name="Oval 28" descr="3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636079" y="28381794"/>
          <a:ext cx="374532" cy="364539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7</xdr:col>
      <xdr:colOff>223157</xdr:colOff>
      <xdr:row>85</xdr:row>
      <xdr:rowOff>24519</xdr:rowOff>
    </xdr:from>
    <xdr:to>
      <xdr:col>7</xdr:col>
      <xdr:colOff>597689</xdr:colOff>
      <xdr:row>86</xdr:row>
      <xdr:rowOff>184951</xdr:rowOff>
    </xdr:to>
    <xdr:sp macro="" textlink="">
      <xdr:nvSpPr>
        <xdr:cNvPr id="151" name="Oval 28" descr="3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485720" y="27516050"/>
          <a:ext cx="374532" cy="362839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5</a:t>
          </a:r>
        </a:p>
      </xdr:txBody>
    </xdr:sp>
    <xdr:clientData/>
  </xdr:twoCellAnchor>
  <xdr:twoCellAnchor>
    <xdr:from>
      <xdr:col>7</xdr:col>
      <xdr:colOff>634431</xdr:colOff>
      <xdr:row>114</xdr:row>
      <xdr:rowOff>178593</xdr:rowOff>
    </xdr:from>
    <xdr:to>
      <xdr:col>11</xdr:col>
      <xdr:colOff>95250</xdr:colOff>
      <xdr:row>119</xdr:row>
      <xdr:rowOff>172357</xdr:rowOff>
    </xdr:to>
    <xdr:sp macro="" textlink="">
      <xdr:nvSpPr>
        <xdr:cNvPr id="64" name="Rectangle 47" descr="Background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6385150" y="35254406"/>
          <a:ext cx="3139850" cy="1029607"/>
        </a:xfrm>
        <a:prstGeom prst="rect">
          <a:avLst/>
        </a:prstGeom>
        <a:solidFill>
          <a:schemeClr val="bg1"/>
        </a:solidFill>
        <a:ln w="38100"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1000125</xdr:colOff>
      <xdr:row>117</xdr:row>
      <xdr:rowOff>59531</xdr:rowOff>
    </xdr:from>
    <xdr:to>
      <xdr:col>11</xdr:col>
      <xdr:colOff>108821</xdr:colOff>
      <xdr:row>119</xdr:row>
      <xdr:rowOff>158751</xdr:rowOff>
    </xdr:to>
    <xdr:sp macro="" textlink="$P$118">
      <xdr:nvSpPr>
        <xdr:cNvPr id="78" name="Step" descr="Click the cell with the number 100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/>
      </xdr:nvSpPr>
      <xdr:spPr>
        <a:xfrm>
          <a:off x="7620000" y="24467344"/>
          <a:ext cx="1954290" cy="5040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A192DF5-B02A-4A72-BC65-E301C3299D8B}" type="TxLink">
            <a:rPr kumimoji="0" lang="en-US" sz="1600" b="1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$400.00 </a:t>
          </a:fld>
          <a:endParaRPr kumimoji="0" lang="en-US" sz="1600" b="1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7</xdr:col>
      <xdr:colOff>257174</xdr:colOff>
      <xdr:row>105</xdr:row>
      <xdr:rowOff>23710</xdr:rowOff>
    </xdr:from>
    <xdr:to>
      <xdr:col>7</xdr:col>
      <xdr:colOff>631706</xdr:colOff>
      <xdr:row>106</xdr:row>
      <xdr:rowOff>185843</xdr:rowOff>
    </xdr:to>
    <xdr:sp macro="" textlink="">
      <xdr:nvSpPr>
        <xdr:cNvPr id="152" name="Oval 24" descr="1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674518" y="10810773"/>
          <a:ext cx="374532" cy="364539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7</xdr:col>
      <xdr:colOff>257174</xdr:colOff>
      <xdr:row>108</xdr:row>
      <xdr:rowOff>29430</xdr:rowOff>
    </xdr:from>
    <xdr:to>
      <xdr:col>7</xdr:col>
      <xdr:colOff>631706</xdr:colOff>
      <xdr:row>109</xdr:row>
      <xdr:rowOff>191563</xdr:rowOff>
    </xdr:to>
    <xdr:sp macro="" textlink="">
      <xdr:nvSpPr>
        <xdr:cNvPr id="153" name="Oval 26" descr="2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674518" y="11423711"/>
          <a:ext cx="374532" cy="3645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7</xdr:col>
      <xdr:colOff>257174</xdr:colOff>
      <xdr:row>111</xdr:row>
      <xdr:rowOff>12613</xdr:rowOff>
    </xdr:from>
    <xdr:to>
      <xdr:col>7</xdr:col>
      <xdr:colOff>631706</xdr:colOff>
      <xdr:row>112</xdr:row>
      <xdr:rowOff>174746</xdr:rowOff>
    </xdr:to>
    <xdr:sp macro="" textlink="">
      <xdr:nvSpPr>
        <xdr:cNvPr id="154" name="Oval 28" descr="3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674518" y="12026019"/>
          <a:ext cx="374532" cy="3645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6</xdr:col>
      <xdr:colOff>520472</xdr:colOff>
      <xdr:row>170</xdr:row>
      <xdr:rowOff>119062</xdr:rowOff>
    </xdr:from>
    <xdr:to>
      <xdr:col>12</xdr:col>
      <xdr:colOff>2154</xdr:colOff>
      <xdr:row>175</xdr:row>
      <xdr:rowOff>190500</xdr:rowOff>
    </xdr:to>
    <xdr:sp macro="" textlink="">
      <xdr:nvSpPr>
        <xdr:cNvPr id="177" name="Rectangle 47" descr="Background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640160" y="35861625"/>
          <a:ext cx="4303713" cy="1083469"/>
        </a:xfrm>
        <a:prstGeom prst="rect">
          <a:avLst/>
        </a:prstGeom>
        <a:solidFill>
          <a:schemeClr val="bg1"/>
        </a:solidFill>
        <a:ln w="38100"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345281</xdr:colOff>
      <xdr:row>170</xdr:row>
      <xdr:rowOff>142875</xdr:rowOff>
    </xdr:from>
    <xdr:to>
      <xdr:col>11</xdr:col>
      <xdr:colOff>460261</xdr:colOff>
      <xdr:row>175</xdr:row>
      <xdr:rowOff>190500</xdr:rowOff>
    </xdr:to>
    <xdr:sp macro="" textlink="$P$161">
      <xdr:nvSpPr>
        <xdr:cNvPr id="179" name="Step" descr="Click the cell with the number 100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/>
      </xdr:nvSpPr>
      <xdr:spPr>
        <a:xfrm>
          <a:off x="6987381" y="41494075"/>
          <a:ext cx="2972480" cy="1063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35A7C3D-DE53-486E-95C7-85FEC6B8EEE9}" type="TxLink">
            <a:rPr kumimoji="0" lang="en-US" sz="2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$4,031.57 </a:t>
          </a:fld>
          <a:endParaRPr kumimoji="0" lang="en-US" sz="2400" b="1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7</xdr:col>
      <xdr:colOff>145145</xdr:colOff>
      <xdr:row>150</xdr:row>
      <xdr:rowOff>86181</xdr:rowOff>
    </xdr:from>
    <xdr:to>
      <xdr:col>12</xdr:col>
      <xdr:colOff>176895</xdr:colOff>
      <xdr:row>153</xdr:row>
      <xdr:rowOff>27217</xdr:rowOff>
    </xdr:to>
    <xdr:sp macro="" textlink="">
      <xdr:nvSpPr>
        <xdr:cNvPr id="194" name="Step" descr="Here’s how to use the fill handle in Excel: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/>
      </xdr:nvSpPr>
      <xdr:spPr>
        <a:xfrm>
          <a:off x="5914574" y="36185931"/>
          <a:ext cx="4304392" cy="553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Agrega tu información a cada una de las siguientes casillas:</a:t>
          </a:r>
        </a:p>
      </xdr:txBody>
    </xdr:sp>
    <xdr:clientData/>
  </xdr:twoCellAnchor>
  <xdr:twoCellAnchor>
    <xdr:from>
      <xdr:col>7</xdr:col>
      <xdr:colOff>2269</xdr:colOff>
      <xdr:row>152</xdr:row>
      <xdr:rowOff>94686</xdr:rowOff>
    </xdr:from>
    <xdr:to>
      <xdr:col>11</xdr:col>
      <xdr:colOff>489857</xdr:colOff>
      <xdr:row>152</xdr:row>
      <xdr:rowOff>95250</xdr:rowOff>
    </xdr:to>
    <xdr:cxnSp macro="">
      <xdr:nvCxnSpPr>
        <xdr:cNvPr id="195" name="Straight Connector 51" descr="Decorative line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CxnSpPr>
          <a:cxnSpLocks/>
        </xdr:cNvCxnSpPr>
      </xdr:nvCxnSpPr>
      <xdr:spPr>
        <a:xfrm>
          <a:off x="5771698" y="36602650"/>
          <a:ext cx="4052659" cy="564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257174</xdr:colOff>
      <xdr:row>154</xdr:row>
      <xdr:rowOff>23710</xdr:rowOff>
    </xdr:from>
    <xdr:to>
      <xdr:col>7</xdr:col>
      <xdr:colOff>631706</xdr:colOff>
      <xdr:row>155</xdr:row>
      <xdr:rowOff>185843</xdr:rowOff>
    </xdr:to>
    <xdr:sp macro="" textlink="">
      <xdr:nvSpPr>
        <xdr:cNvPr id="198" name="Oval 24" descr="1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700031" y="33293174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7</xdr:col>
      <xdr:colOff>257174</xdr:colOff>
      <xdr:row>157</xdr:row>
      <xdr:rowOff>29430</xdr:rowOff>
    </xdr:from>
    <xdr:to>
      <xdr:col>7</xdr:col>
      <xdr:colOff>631706</xdr:colOff>
      <xdr:row>158</xdr:row>
      <xdr:rowOff>191563</xdr:rowOff>
    </xdr:to>
    <xdr:sp macro="" textlink="">
      <xdr:nvSpPr>
        <xdr:cNvPr id="199" name="Oval 26" descr="2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700031" y="33911216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7</xdr:col>
      <xdr:colOff>257174</xdr:colOff>
      <xdr:row>160</xdr:row>
      <xdr:rowOff>12613</xdr:rowOff>
    </xdr:from>
    <xdr:to>
      <xdr:col>7</xdr:col>
      <xdr:colOff>631706</xdr:colOff>
      <xdr:row>161</xdr:row>
      <xdr:rowOff>174746</xdr:rowOff>
    </xdr:to>
    <xdr:sp macro="" textlink="">
      <xdr:nvSpPr>
        <xdr:cNvPr id="200" name="Oval 28" descr="3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700031" y="34506720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7</xdr:col>
      <xdr:colOff>268400</xdr:colOff>
      <xdr:row>163</xdr:row>
      <xdr:rowOff>32911</xdr:rowOff>
    </xdr:from>
    <xdr:to>
      <xdr:col>7</xdr:col>
      <xdr:colOff>642932</xdr:colOff>
      <xdr:row>164</xdr:row>
      <xdr:rowOff>195044</xdr:rowOff>
    </xdr:to>
    <xdr:sp macro="" textlink="">
      <xdr:nvSpPr>
        <xdr:cNvPr id="201" name="Oval 28" descr="3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711257" y="35139340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7</xdr:col>
      <xdr:colOff>270782</xdr:colOff>
      <xdr:row>165</xdr:row>
      <xdr:rowOff>203113</xdr:rowOff>
    </xdr:from>
    <xdr:to>
      <xdr:col>7</xdr:col>
      <xdr:colOff>645314</xdr:colOff>
      <xdr:row>167</xdr:row>
      <xdr:rowOff>161139</xdr:rowOff>
    </xdr:to>
    <xdr:sp macro="" textlink="">
      <xdr:nvSpPr>
        <xdr:cNvPr id="202" name="Oval 28" descr="3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713639" y="35717756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5</a:t>
          </a:r>
        </a:p>
      </xdr:txBody>
    </xdr:sp>
    <xdr:clientData/>
  </xdr:twoCellAnchor>
  <xdr:twoCellAnchor>
    <xdr:from>
      <xdr:col>7</xdr:col>
      <xdr:colOff>210911</xdr:colOff>
      <xdr:row>101</xdr:row>
      <xdr:rowOff>108858</xdr:rowOff>
    </xdr:from>
    <xdr:to>
      <xdr:col>12</xdr:col>
      <xdr:colOff>242661</xdr:colOff>
      <xdr:row>104</xdr:row>
      <xdr:rowOff>49893</xdr:rowOff>
    </xdr:to>
    <xdr:sp macro="" textlink="">
      <xdr:nvSpPr>
        <xdr:cNvPr id="61" name="Step" descr="Here’s how to use the fill handle in Excel: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/>
      </xdr:nvSpPr>
      <xdr:spPr>
        <a:xfrm>
          <a:off x="5980340" y="29486679"/>
          <a:ext cx="4304392" cy="553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Agrega tu información a cada una de las siguientes casillas:</a:t>
          </a:r>
        </a:p>
      </xdr:txBody>
    </xdr:sp>
    <xdr:clientData/>
  </xdr:twoCellAnchor>
  <xdr:twoCellAnchor>
    <xdr:from>
      <xdr:col>7</xdr:col>
      <xdr:colOff>68035</xdr:colOff>
      <xdr:row>103</xdr:row>
      <xdr:rowOff>117362</xdr:rowOff>
    </xdr:from>
    <xdr:to>
      <xdr:col>11</xdr:col>
      <xdr:colOff>555623</xdr:colOff>
      <xdr:row>103</xdr:row>
      <xdr:rowOff>117926</xdr:rowOff>
    </xdr:to>
    <xdr:cxnSp macro="">
      <xdr:nvCxnSpPr>
        <xdr:cNvPr id="76" name="Straight Connector 51" descr="Decorative line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CxnSpPr>
          <a:cxnSpLocks/>
        </xdr:cNvCxnSpPr>
      </xdr:nvCxnSpPr>
      <xdr:spPr>
        <a:xfrm>
          <a:off x="5837464" y="29903398"/>
          <a:ext cx="4052659" cy="564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306162</xdr:colOff>
      <xdr:row>45</xdr:row>
      <xdr:rowOff>163285</xdr:rowOff>
    </xdr:from>
    <xdr:to>
      <xdr:col>13</xdr:col>
      <xdr:colOff>38554</xdr:colOff>
      <xdr:row>48</xdr:row>
      <xdr:rowOff>104320</xdr:rowOff>
    </xdr:to>
    <xdr:sp macro="" textlink="">
      <xdr:nvSpPr>
        <xdr:cNvPr id="80" name="Step" descr="Here’s how to use the fill handle in Excel: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/>
      </xdr:nvSpPr>
      <xdr:spPr>
        <a:xfrm>
          <a:off x="6075591" y="8177892"/>
          <a:ext cx="4304392" cy="553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Agrega tu información a cada una de las siguientes casillas:</a:t>
          </a:r>
        </a:p>
      </xdr:txBody>
    </xdr:sp>
    <xdr:clientData/>
  </xdr:twoCellAnchor>
  <xdr:twoCellAnchor>
    <xdr:from>
      <xdr:col>7</xdr:col>
      <xdr:colOff>163286</xdr:colOff>
      <xdr:row>47</xdr:row>
      <xdr:rowOff>171790</xdr:rowOff>
    </xdr:from>
    <xdr:to>
      <xdr:col>11</xdr:col>
      <xdr:colOff>650874</xdr:colOff>
      <xdr:row>47</xdr:row>
      <xdr:rowOff>172354</xdr:rowOff>
    </xdr:to>
    <xdr:cxnSp macro="">
      <xdr:nvCxnSpPr>
        <xdr:cNvPr id="81" name="Straight Connector 51" descr="Decorative line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CxnSpPr>
          <a:cxnSpLocks/>
        </xdr:cNvCxnSpPr>
      </xdr:nvCxnSpPr>
      <xdr:spPr>
        <a:xfrm>
          <a:off x="5932715" y="8594611"/>
          <a:ext cx="4052659" cy="564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145145</xdr:colOff>
      <xdr:row>125</xdr:row>
      <xdr:rowOff>86181</xdr:rowOff>
    </xdr:from>
    <xdr:to>
      <xdr:col>12</xdr:col>
      <xdr:colOff>176895</xdr:colOff>
      <xdr:row>128</xdr:row>
      <xdr:rowOff>27217</xdr:rowOff>
    </xdr:to>
    <xdr:sp macro="" textlink="">
      <xdr:nvSpPr>
        <xdr:cNvPr id="155" name="Step" descr="Here’s how to use the fill handle in Excel: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/>
      </xdr:nvSpPr>
      <xdr:spPr>
        <a:xfrm>
          <a:off x="5914574" y="48636467"/>
          <a:ext cx="4304392" cy="553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Agrega tu información a cada una de las siguientes casillas:</a:t>
          </a:r>
        </a:p>
      </xdr:txBody>
    </xdr:sp>
    <xdr:clientData/>
  </xdr:twoCellAnchor>
  <xdr:twoCellAnchor>
    <xdr:from>
      <xdr:col>7</xdr:col>
      <xdr:colOff>2269</xdr:colOff>
      <xdr:row>127</xdr:row>
      <xdr:rowOff>94686</xdr:rowOff>
    </xdr:from>
    <xdr:to>
      <xdr:col>11</xdr:col>
      <xdr:colOff>489857</xdr:colOff>
      <xdr:row>127</xdr:row>
      <xdr:rowOff>95250</xdr:rowOff>
    </xdr:to>
    <xdr:cxnSp macro="">
      <xdr:nvCxnSpPr>
        <xdr:cNvPr id="156" name="Straight Connector 51" descr="Decorative line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CxnSpPr>
          <a:cxnSpLocks/>
        </xdr:cNvCxnSpPr>
      </xdr:nvCxnSpPr>
      <xdr:spPr>
        <a:xfrm>
          <a:off x="5771698" y="49053186"/>
          <a:ext cx="4052659" cy="564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257174</xdr:colOff>
      <xdr:row>129</xdr:row>
      <xdr:rowOff>23710</xdr:rowOff>
    </xdr:from>
    <xdr:to>
      <xdr:col>7</xdr:col>
      <xdr:colOff>631706</xdr:colOff>
      <xdr:row>130</xdr:row>
      <xdr:rowOff>185843</xdr:rowOff>
    </xdr:to>
    <xdr:sp macro="" textlink="">
      <xdr:nvSpPr>
        <xdr:cNvPr id="161" name="Oval 24" descr="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6026603" y="49390424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7</xdr:col>
      <xdr:colOff>257174</xdr:colOff>
      <xdr:row>132</xdr:row>
      <xdr:rowOff>29430</xdr:rowOff>
    </xdr:from>
    <xdr:to>
      <xdr:col>7</xdr:col>
      <xdr:colOff>631706</xdr:colOff>
      <xdr:row>133</xdr:row>
      <xdr:rowOff>191563</xdr:rowOff>
    </xdr:to>
    <xdr:sp macro="" textlink="">
      <xdr:nvSpPr>
        <xdr:cNvPr id="162" name="Oval 26" descr="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6026603" y="50008466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7</xdr:col>
      <xdr:colOff>257174</xdr:colOff>
      <xdr:row>135</xdr:row>
      <xdr:rowOff>12613</xdr:rowOff>
    </xdr:from>
    <xdr:to>
      <xdr:col>7</xdr:col>
      <xdr:colOff>631706</xdr:colOff>
      <xdr:row>136</xdr:row>
      <xdr:rowOff>174746</xdr:rowOff>
    </xdr:to>
    <xdr:sp macro="" textlink="">
      <xdr:nvSpPr>
        <xdr:cNvPr id="163" name="Oval 28" descr="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6026603" y="50603970"/>
          <a:ext cx="374532" cy="366240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721179</xdr:colOff>
      <xdr:row>139</xdr:row>
      <xdr:rowOff>136071</xdr:rowOff>
    </xdr:from>
    <xdr:to>
      <xdr:col>5</xdr:col>
      <xdr:colOff>222818</xdr:colOff>
      <xdr:row>144</xdr:row>
      <xdr:rowOff>153646</xdr:rowOff>
    </xdr:to>
    <xdr:sp macro="" textlink="">
      <xdr:nvSpPr>
        <xdr:cNvPr id="171" name="Rectangle 47" descr="Background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1335012" y="41061821"/>
          <a:ext cx="3184639" cy="1044158"/>
        </a:xfrm>
        <a:prstGeom prst="rect">
          <a:avLst/>
        </a:prstGeom>
        <a:solidFill>
          <a:schemeClr val="bg1"/>
        </a:solidFill>
        <a:ln w="38100"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428624</xdr:colOff>
      <xdr:row>142</xdr:row>
      <xdr:rowOff>63500</xdr:rowOff>
    </xdr:from>
    <xdr:to>
      <xdr:col>5</xdr:col>
      <xdr:colOff>81608</xdr:colOff>
      <xdr:row>143</xdr:row>
      <xdr:rowOff>116227</xdr:rowOff>
    </xdr:to>
    <xdr:sp macro="" textlink="$P$141">
      <xdr:nvSpPr>
        <xdr:cNvPr id="173" name="Step" descr="Click the cell with the number 100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/>
      </xdr:nvSpPr>
      <xdr:spPr>
        <a:xfrm>
          <a:off x="2037291" y="41613667"/>
          <a:ext cx="2341150" cy="253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91B0EED-A522-4CFF-B363-94C33866D4CC}" type="TxLink">
            <a:rPr kumimoji="0" lang="en-US" sz="16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$552.57 </a:t>
          </a:fld>
          <a:endParaRPr kumimoji="0" lang="en-US" sz="1600" b="1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7</xdr:col>
      <xdr:colOff>122463</xdr:colOff>
      <xdr:row>139</xdr:row>
      <xdr:rowOff>138793</xdr:rowOff>
    </xdr:from>
    <xdr:to>
      <xdr:col>10</xdr:col>
      <xdr:colOff>429647</xdr:colOff>
      <xdr:row>144</xdr:row>
      <xdr:rowOff>156369</xdr:rowOff>
    </xdr:to>
    <xdr:sp macro="" textlink="">
      <xdr:nvSpPr>
        <xdr:cNvPr id="174" name="Rectangle 47" descr="Background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922130" y="41064543"/>
          <a:ext cx="3132934" cy="1044159"/>
        </a:xfrm>
        <a:prstGeom prst="rect">
          <a:avLst/>
        </a:prstGeom>
        <a:solidFill>
          <a:schemeClr val="bg1"/>
        </a:solidFill>
        <a:ln w="38100"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812346</xdr:colOff>
      <xdr:row>142</xdr:row>
      <xdr:rowOff>31750</xdr:rowOff>
    </xdr:from>
    <xdr:to>
      <xdr:col>10</xdr:col>
      <xdr:colOff>288438</xdr:colOff>
      <xdr:row>143</xdr:row>
      <xdr:rowOff>118950</xdr:rowOff>
    </xdr:to>
    <xdr:sp macro="" textlink="$P$142">
      <xdr:nvSpPr>
        <xdr:cNvPr id="176" name="Step" descr="Click the cell with the number 100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/>
      </xdr:nvSpPr>
      <xdr:spPr>
        <a:xfrm>
          <a:off x="6612013" y="41581917"/>
          <a:ext cx="2301842" cy="288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21085CE-0B35-43F7-A800-90A8D5A1986A}" type="TxLink">
            <a:rPr kumimoji="0" lang="en-US" sz="16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$35.00 </a:t>
          </a:fld>
          <a:endParaRPr kumimoji="0" lang="en-US" sz="1600" b="1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0</xdr:col>
      <xdr:colOff>238125</xdr:colOff>
      <xdr:row>45</xdr:row>
      <xdr:rowOff>23813</xdr:rowOff>
    </xdr:from>
    <xdr:to>
      <xdr:col>5</xdr:col>
      <xdr:colOff>748507</xdr:colOff>
      <xdr:row>64</xdr:row>
      <xdr:rowOff>63500</xdr:rowOff>
    </xdr:to>
    <xdr:sp macro="" textlink="">
      <xdr:nvSpPr>
        <xdr:cNvPr id="220" name="Rectangle 47" descr="Background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238125" y="13943013"/>
          <a:ext cx="4802982" cy="4052887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2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296863</xdr:colOff>
      <xdr:row>45</xdr:row>
      <xdr:rowOff>114340</xdr:rowOff>
    </xdr:from>
    <xdr:to>
      <xdr:col>5</xdr:col>
      <xdr:colOff>785020</xdr:colOff>
      <xdr:row>48</xdr:row>
      <xdr:rowOff>13534</xdr:rowOff>
    </xdr:to>
    <xdr:sp macro="" textlink="">
      <xdr:nvSpPr>
        <xdr:cNvPr id="221" name="Step" descr="More information on the web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/>
      </xdr:nvSpPr>
      <xdr:spPr>
        <a:xfrm>
          <a:off x="296863" y="13449340"/>
          <a:ext cx="4738688" cy="506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Sección</a:t>
          </a: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 II. Informacion de </a:t>
          </a: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mercancías</a:t>
          </a: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 </a:t>
          </a:r>
          <a:endParaRPr lang="en-US" sz="1800" b="0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257970</xdr:colOff>
      <xdr:row>62</xdr:row>
      <xdr:rowOff>196930</xdr:rowOff>
    </xdr:from>
    <xdr:to>
      <xdr:col>5</xdr:col>
      <xdr:colOff>229395</xdr:colOff>
      <xdr:row>62</xdr:row>
      <xdr:rowOff>196930</xdr:rowOff>
    </xdr:to>
    <xdr:cxnSp macro="">
      <xdr:nvCxnSpPr>
        <xdr:cNvPr id="222" name="Straight Connector 51" descr="Decorative line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>
          <a:cxnSpLocks/>
        </xdr:cNvCxnSpPr>
      </xdr:nvCxnSpPr>
      <xdr:spPr>
        <a:xfrm>
          <a:off x="865189" y="17008555"/>
          <a:ext cx="3614737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473869</xdr:colOff>
      <xdr:row>50</xdr:row>
      <xdr:rowOff>62747</xdr:rowOff>
    </xdr:from>
    <xdr:to>
      <xdr:col>5</xdr:col>
      <xdr:colOff>665957</xdr:colOff>
      <xdr:row>52</xdr:row>
      <xdr:rowOff>74653</xdr:rowOff>
    </xdr:to>
    <xdr:sp macro="" textlink="">
      <xdr:nvSpPr>
        <xdr:cNvPr id="223" name="Step" descr="Click the cell with the number 100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/>
      </xdr:nvSpPr>
      <xdr:spPr>
        <a:xfrm>
          <a:off x="1081088" y="14409778"/>
          <a:ext cx="38354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proveedor de tu mercancía.</a:t>
          </a:r>
        </a:p>
      </xdr:txBody>
    </xdr:sp>
    <xdr:clientData/>
  </xdr:twoCellAnchor>
  <xdr:twoCellAnchor>
    <xdr:from>
      <xdr:col>1</xdr:col>
      <xdr:colOff>57943</xdr:colOff>
      <xdr:row>50</xdr:row>
      <xdr:rowOff>79109</xdr:rowOff>
    </xdr:from>
    <xdr:to>
      <xdr:col>1</xdr:col>
      <xdr:colOff>431006</xdr:colOff>
      <xdr:row>52</xdr:row>
      <xdr:rowOff>25927</xdr:rowOff>
    </xdr:to>
    <xdr:sp macro="" textlink="">
      <xdr:nvSpPr>
        <xdr:cNvPr id="224" name="Oval 24" descr="1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665162" y="14426140"/>
          <a:ext cx="373063" cy="36353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1</xdr:col>
      <xdr:colOff>484982</xdr:colOff>
      <xdr:row>55</xdr:row>
      <xdr:rowOff>23059</xdr:rowOff>
    </xdr:from>
    <xdr:to>
      <xdr:col>4</xdr:col>
      <xdr:colOff>583407</xdr:colOff>
      <xdr:row>57</xdr:row>
      <xdr:rowOff>99259</xdr:rowOff>
    </xdr:to>
    <xdr:sp macro="" textlink="">
      <xdr:nvSpPr>
        <xdr:cNvPr id="225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/>
      </xdr:nvSpPr>
      <xdr:spPr>
        <a:xfrm>
          <a:off x="1092201" y="15394028"/>
          <a:ext cx="2908300" cy="481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Ingresa el costo</a:t>
          </a:r>
          <a:r>
            <a:rPr lang="es-MX" sz="12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de la mercancía en USD.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57943</xdr:colOff>
      <xdr:row>52</xdr:row>
      <xdr:rowOff>139865</xdr:rowOff>
    </xdr:from>
    <xdr:to>
      <xdr:col>1</xdr:col>
      <xdr:colOff>431006</xdr:colOff>
      <xdr:row>54</xdr:row>
      <xdr:rowOff>98589</xdr:rowOff>
    </xdr:to>
    <xdr:sp macro="" textlink="">
      <xdr:nvSpPr>
        <xdr:cNvPr id="226" name="Oval 26" descr="2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665162" y="14903615"/>
          <a:ext cx="373063" cy="36353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1</xdr:col>
      <xdr:colOff>483394</xdr:colOff>
      <xdr:row>52</xdr:row>
      <xdr:rowOff>141328</xdr:rowOff>
    </xdr:from>
    <xdr:to>
      <xdr:col>4</xdr:col>
      <xdr:colOff>105569</xdr:colOff>
      <xdr:row>54</xdr:row>
      <xdr:rowOff>34965</xdr:rowOff>
    </xdr:to>
    <xdr:sp macro="" textlink="">
      <xdr:nvSpPr>
        <xdr:cNvPr id="227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/>
      </xdr:nvSpPr>
      <xdr:spPr>
        <a:xfrm>
          <a:off x="1090613" y="14905078"/>
          <a:ext cx="24320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Selecciona el tipo de mercancía.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59736</xdr:colOff>
      <xdr:row>55</xdr:row>
      <xdr:rowOff>12174</xdr:rowOff>
    </xdr:from>
    <xdr:to>
      <xdr:col>1</xdr:col>
      <xdr:colOff>432799</xdr:colOff>
      <xdr:row>56</xdr:row>
      <xdr:rowOff>170130</xdr:rowOff>
    </xdr:to>
    <xdr:sp macro="" textlink="">
      <xdr:nvSpPr>
        <xdr:cNvPr id="228" name="Oval 28" descr="3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666955" y="15383143"/>
          <a:ext cx="373063" cy="360362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488157</xdr:colOff>
      <xdr:row>57</xdr:row>
      <xdr:rowOff>11987</xdr:rowOff>
    </xdr:from>
    <xdr:to>
      <xdr:col>5</xdr:col>
      <xdr:colOff>567533</xdr:colOff>
      <xdr:row>58</xdr:row>
      <xdr:rowOff>165974</xdr:rowOff>
    </xdr:to>
    <xdr:sp macro="" textlink="">
      <xdr:nvSpPr>
        <xdr:cNvPr id="229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/>
      </xdr:nvSpPr>
      <xdr:spPr>
        <a:xfrm>
          <a:off x="1095376" y="15787768"/>
          <a:ext cx="3722688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Indica si tu mercancía es elegible para certificación de origen. 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48530</xdr:colOff>
      <xdr:row>57</xdr:row>
      <xdr:rowOff>98972</xdr:rowOff>
    </xdr:from>
    <xdr:to>
      <xdr:col>1</xdr:col>
      <xdr:colOff>423180</xdr:colOff>
      <xdr:row>59</xdr:row>
      <xdr:rowOff>42616</xdr:rowOff>
    </xdr:to>
    <xdr:sp macro="" textlink="">
      <xdr:nvSpPr>
        <xdr:cNvPr id="230" name="Oval 28" descr="3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655749" y="15874753"/>
          <a:ext cx="374650" cy="360363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1</xdr:col>
      <xdr:colOff>559594</xdr:colOff>
      <xdr:row>47</xdr:row>
      <xdr:rowOff>161965</xdr:rowOff>
    </xdr:from>
    <xdr:to>
      <xdr:col>4</xdr:col>
      <xdr:colOff>613569</xdr:colOff>
      <xdr:row>50</xdr:row>
      <xdr:rowOff>65922</xdr:rowOff>
    </xdr:to>
    <xdr:sp macro="" textlink="">
      <xdr:nvSpPr>
        <xdr:cNvPr id="231" name="Step" descr="More information on the web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/>
      </xdr:nvSpPr>
      <xdr:spPr>
        <a:xfrm>
          <a:off x="1166813" y="13901778"/>
          <a:ext cx="2863850" cy="511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Instrucciones</a:t>
          </a:r>
          <a:r>
            <a:rPr kumimoji="0" lang="es-MX" sz="20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:</a:t>
          </a:r>
          <a:endParaRPr lang="es-MX" sz="2400" b="1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488157</xdr:colOff>
      <xdr:row>59</xdr:row>
      <xdr:rowOff>88993</xdr:rowOff>
    </xdr:from>
    <xdr:to>
      <xdr:col>5</xdr:col>
      <xdr:colOff>345282</xdr:colOff>
      <xdr:row>61</xdr:row>
      <xdr:rowOff>40574</xdr:rowOff>
    </xdr:to>
    <xdr:sp macro="" textlink="">
      <xdr:nvSpPr>
        <xdr:cNvPr id="235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/>
      </xdr:nvSpPr>
      <xdr:spPr>
        <a:xfrm>
          <a:off x="1095376" y="16281493"/>
          <a:ext cx="3500437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Revisa si tu mercancía paga Impuesto General de Importación “IGI”.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52319</xdr:colOff>
      <xdr:row>59</xdr:row>
      <xdr:rowOff>171563</xdr:rowOff>
    </xdr:from>
    <xdr:to>
      <xdr:col>1</xdr:col>
      <xdr:colOff>426969</xdr:colOff>
      <xdr:row>61</xdr:row>
      <xdr:rowOff>115207</xdr:rowOff>
    </xdr:to>
    <xdr:sp macro="" textlink="">
      <xdr:nvSpPr>
        <xdr:cNvPr id="236" name="Oval 28" descr="3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659538" y="16364063"/>
          <a:ext cx="374650" cy="360363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5</a:t>
          </a:r>
        </a:p>
      </xdr:txBody>
    </xdr:sp>
    <xdr:clientData/>
  </xdr:twoCellAnchor>
  <xdr:twoCellAnchor>
    <xdr:from>
      <xdr:col>0</xdr:col>
      <xdr:colOff>238125</xdr:colOff>
      <xdr:row>69</xdr:row>
      <xdr:rowOff>127000</xdr:rowOff>
    </xdr:from>
    <xdr:to>
      <xdr:col>5</xdr:col>
      <xdr:colOff>772584</xdr:colOff>
      <xdr:row>89</xdr:row>
      <xdr:rowOff>35718</xdr:rowOff>
    </xdr:to>
    <xdr:sp macro="" textlink="">
      <xdr:nvSpPr>
        <xdr:cNvPr id="237" name="Rectangle 47" descr="Background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238125" y="19456400"/>
          <a:ext cx="4827059" cy="4379118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2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179387</xdr:colOff>
      <xdr:row>69</xdr:row>
      <xdr:rowOff>278678</xdr:rowOff>
    </xdr:from>
    <xdr:to>
      <xdr:col>5</xdr:col>
      <xdr:colOff>131762</xdr:colOff>
      <xdr:row>72</xdr:row>
      <xdr:rowOff>126527</xdr:rowOff>
    </xdr:to>
    <xdr:sp macro="" textlink="">
      <xdr:nvSpPr>
        <xdr:cNvPr id="238" name="Step" descr="More information on the web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/>
      </xdr:nvSpPr>
      <xdr:spPr>
        <a:xfrm>
          <a:off x="788987" y="19773178"/>
          <a:ext cx="3635375" cy="559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Sección III. Informacion para calculo de costo de transporte</a:t>
          </a:r>
          <a:endParaRPr lang="en-US" sz="1800" b="0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700092</xdr:colOff>
      <xdr:row>75</xdr:row>
      <xdr:rowOff>155424</xdr:rowOff>
    </xdr:from>
    <xdr:to>
      <xdr:col>4</xdr:col>
      <xdr:colOff>471107</xdr:colOff>
      <xdr:row>77</xdr:row>
      <xdr:rowOff>167066</xdr:rowOff>
    </xdr:to>
    <xdr:sp macro="" textlink="">
      <xdr:nvSpPr>
        <xdr:cNvPr id="239" name="Step" descr="Click the cell with the number 100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/>
      </xdr:nvSpPr>
      <xdr:spPr>
        <a:xfrm>
          <a:off x="1309692" y="21072324"/>
          <a:ext cx="2628515" cy="443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proveedor desde donde se envia el material.</a:t>
          </a:r>
        </a:p>
      </xdr:txBody>
    </xdr:sp>
    <xdr:clientData/>
  </xdr:twoCellAnchor>
  <xdr:twoCellAnchor>
    <xdr:from>
      <xdr:col>1</xdr:col>
      <xdr:colOff>223182</xdr:colOff>
      <xdr:row>76</xdr:row>
      <xdr:rowOff>21505</xdr:rowOff>
    </xdr:from>
    <xdr:to>
      <xdr:col>1</xdr:col>
      <xdr:colOff>597714</xdr:colOff>
      <xdr:row>77</xdr:row>
      <xdr:rowOff>181937</xdr:rowOff>
    </xdr:to>
    <xdr:sp macro="" textlink="">
      <xdr:nvSpPr>
        <xdr:cNvPr id="240" name="Oval 24" descr="1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832782" y="21154305"/>
          <a:ext cx="374532" cy="376332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1</xdr:col>
      <xdr:colOff>683686</xdr:colOff>
      <xdr:row>80</xdr:row>
      <xdr:rowOff>158635</xdr:rowOff>
    </xdr:from>
    <xdr:to>
      <xdr:col>5</xdr:col>
      <xdr:colOff>94456</xdr:colOff>
      <xdr:row>83</xdr:row>
      <xdr:rowOff>18042</xdr:rowOff>
    </xdr:to>
    <xdr:sp macro="" textlink="">
      <xdr:nvSpPr>
        <xdr:cNvPr id="241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/>
      </xdr:nvSpPr>
      <xdr:spPr>
        <a:xfrm>
          <a:off x="1293286" y="22155035"/>
          <a:ext cx="3093770" cy="494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Ingresa el peso de tu mercancia.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228486</xdr:colOff>
      <xdr:row>78</xdr:row>
      <xdr:rowOff>66050</xdr:rowOff>
    </xdr:from>
    <xdr:to>
      <xdr:col>1</xdr:col>
      <xdr:colOff>603018</xdr:colOff>
      <xdr:row>80</xdr:row>
      <xdr:rowOff>24076</xdr:rowOff>
    </xdr:to>
    <xdr:sp macro="" textlink="">
      <xdr:nvSpPr>
        <xdr:cNvPr id="242" name="Oval 26" descr="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838086" y="21630650"/>
          <a:ext cx="374532" cy="389826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1</xdr:col>
      <xdr:colOff>705270</xdr:colOff>
      <xdr:row>78</xdr:row>
      <xdr:rowOff>97618</xdr:rowOff>
    </xdr:from>
    <xdr:to>
      <xdr:col>5</xdr:col>
      <xdr:colOff>356394</xdr:colOff>
      <xdr:row>79</xdr:row>
      <xdr:rowOff>206523</xdr:rowOff>
    </xdr:to>
    <xdr:sp macro="" textlink="">
      <xdr:nvSpPr>
        <xdr:cNvPr id="243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/>
      </xdr:nvSpPr>
      <xdr:spPr>
        <a:xfrm>
          <a:off x="1314870" y="21662218"/>
          <a:ext cx="3334124" cy="32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tipo de mercancia a transportar.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226747</xdr:colOff>
      <xdr:row>80</xdr:row>
      <xdr:rowOff>116264</xdr:rowOff>
    </xdr:from>
    <xdr:to>
      <xdr:col>1</xdr:col>
      <xdr:colOff>601279</xdr:colOff>
      <xdr:row>82</xdr:row>
      <xdr:rowOff>74291</xdr:rowOff>
    </xdr:to>
    <xdr:sp macro="" textlink="">
      <xdr:nvSpPr>
        <xdr:cNvPr id="244" name="Oval 28" descr="3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836347" y="22112664"/>
          <a:ext cx="374532" cy="37712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683686</xdr:colOff>
      <xdr:row>82</xdr:row>
      <xdr:rowOff>174474</xdr:rowOff>
    </xdr:from>
    <xdr:to>
      <xdr:col>5</xdr:col>
      <xdr:colOff>380668</xdr:colOff>
      <xdr:row>84</xdr:row>
      <xdr:rowOff>139861</xdr:rowOff>
    </xdr:to>
    <xdr:sp macro="" textlink="">
      <xdr:nvSpPr>
        <xdr:cNvPr id="245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/>
      </xdr:nvSpPr>
      <xdr:spPr>
        <a:xfrm>
          <a:off x="1293286" y="22589974"/>
          <a:ext cx="3379982" cy="384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Ingresa el numero de bultos a transportar.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238172</xdr:colOff>
      <xdr:row>82</xdr:row>
      <xdr:rowOff>166479</xdr:rowOff>
    </xdr:from>
    <xdr:to>
      <xdr:col>1</xdr:col>
      <xdr:colOff>612704</xdr:colOff>
      <xdr:row>84</xdr:row>
      <xdr:rowOff>124504</xdr:rowOff>
    </xdr:to>
    <xdr:sp macro="" textlink="">
      <xdr:nvSpPr>
        <xdr:cNvPr id="246" name="Oval 28" descr="3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847772" y="22581979"/>
          <a:ext cx="374532" cy="377125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1</xdr:col>
      <xdr:colOff>781385</xdr:colOff>
      <xdr:row>73</xdr:row>
      <xdr:rowOff>90447</xdr:rowOff>
    </xdr:from>
    <xdr:to>
      <xdr:col>5</xdr:col>
      <xdr:colOff>15725</xdr:colOff>
      <xdr:row>75</xdr:row>
      <xdr:rowOff>194677</xdr:rowOff>
    </xdr:to>
    <xdr:sp macro="" textlink="">
      <xdr:nvSpPr>
        <xdr:cNvPr id="247" name="Step" descr="More information on the web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/>
      </xdr:nvSpPr>
      <xdr:spPr>
        <a:xfrm>
          <a:off x="1390985" y="20575547"/>
          <a:ext cx="2917340" cy="536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Instrucciones</a:t>
          </a:r>
          <a:r>
            <a:rPr kumimoji="0" lang="en-US" sz="20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:</a:t>
          </a:r>
          <a:endParaRPr lang="en-US" sz="2400" b="1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683686</xdr:colOff>
      <xdr:row>85</xdr:row>
      <xdr:rowOff>31599</xdr:rowOff>
    </xdr:from>
    <xdr:to>
      <xdr:col>5</xdr:col>
      <xdr:colOff>380668</xdr:colOff>
      <xdr:row>86</xdr:row>
      <xdr:rowOff>212886</xdr:rowOff>
    </xdr:to>
    <xdr:sp macro="" textlink="">
      <xdr:nvSpPr>
        <xdr:cNvPr id="289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/>
      </xdr:nvSpPr>
      <xdr:spPr>
        <a:xfrm>
          <a:off x="1293286" y="23069399"/>
          <a:ext cx="3379982" cy="397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numero de unidades de transporte.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238172</xdr:colOff>
      <xdr:row>85</xdr:row>
      <xdr:rowOff>23604</xdr:rowOff>
    </xdr:from>
    <xdr:to>
      <xdr:col>1</xdr:col>
      <xdr:colOff>612704</xdr:colOff>
      <xdr:row>86</xdr:row>
      <xdr:rowOff>184035</xdr:rowOff>
    </xdr:to>
    <xdr:sp macro="" textlink="">
      <xdr:nvSpPr>
        <xdr:cNvPr id="290" name="Oval 28" descr="3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847772" y="23061404"/>
          <a:ext cx="374532" cy="376331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5</a:t>
          </a:r>
        </a:p>
      </xdr:txBody>
    </xdr:sp>
    <xdr:clientData/>
  </xdr:twoCellAnchor>
  <xdr:twoCellAnchor>
    <xdr:from>
      <xdr:col>0</xdr:col>
      <xdr:colOff>238125</xdr:colOff>
      <xdr:row>101</xdr:row>
      <xdr:rowOff>1812</xdr:rowOff>
    </xdr:from>
    <xdr:to>
      <xdr:col>5</xdr:col>
      <xdr:colOff>748507</xdr:colOff>
      <xdr:row>117</xdr:row>
      <xdr:rowOff>165100</xdr:rowOff>
    </xdr:to>
    <xdr:sp macro="" textlink="">
      <xdr:nvSpPr>
        <xdr:cNvPr id="306" name="Rectangle 47" descr="Background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238125" y="26455912"/>
          <a:ext cx="4802982" cy="3503388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2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474663</xdr:colOff>
      <xdr:row>101</xdr:row>
      <xdr:rowOff>179426</xdr:rowOff>
    </xdr:from>
    <xdr:to>
      <xdr:col>5</xdr:col>
      <xdr:colOff>304800</xdr:colOff>
      <xdr:row>104</xdr:row>
      <xdr:rowOff>77827</xdr:rowOff>
    </xdr:to>
    <xdr:sp macro="" textlink="">
      <xdr:nvSpPr>
        <xdr:cNvPr id="307" name="Step" descr="More information on the web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/>
      </xdr:nvSpPr>
      <xdr:spPr>
        <a:xfrm>
          <a:off x="474663" y="26633526"/>
          <a:ext cx="4122737" cy="520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Sección</a:t>
          </a: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 IV. Maniobras de </a:t>
          </a: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Bodega y Recinto</a:t>
          </a:r>
          <a:endParaRPr lang="en-US" sz="1800" b="0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221899</xdr:colOff>
      <xdr:row>116</xdr:row>
      <xdr:rowOff>35717</xdr:rowOff>
    </xdr:from>
    <xdr:to>
      <xdr:col>5</xdr:col>
      <xdr:colOff>193324</xdr:colOff>
      <xdr:row>116</xdr:row>
      <xdr:rowOff>35717</xdr:rowOff>
    </xdr:to>
    <xdr:cxnSp macro="">
      <xdr:nvCxnSpPr>
        <xdr:cNvPr id="308" name="Straight Connector 51" descr="Decorative line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CxnSpPr>
          <a:cxnSpLocks/>
        </xdr:cNvCxnSpPr>
      </xdr:nvCxnSpPr>
      <xdr:spPr>
        <a:xfrm>
          <a:off x="831499" y="29614017"/>
          <a:ext cx="3654425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575469</xdr:colOff>
      <xdr:row>108</xdr:row>
      <xdr:rowOff>77033</xdr:rowOff>
    </xdr:from>
    <xdr:to>
      <xdr:col>5</xdr:col>
      <xdr:colOff>767557</xdr:colOff>
      <xdr:row>110</xdr:row>
      <xdr:rowOff>76239</xdr:rowOff>
    </xdr:to>
    <xdr:sp macro="" textlink="">
      <xdr:nvSpPr>
        <xdr:cNvPr id="309" name="Step" descr="Click the cell with the number 100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/>
      </xdr:nvSpPr>
      <xdr:spPr>
        <a:xfrm>
          <a:off x="1185069" y="27978933"/>
          <a:ext cx="3875088" cy="43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proveedor de tu mercancía.</a:t>
          </a:r>
        </a:p>
      </xdr:txBody>
    </xdr:sp>
    <xdr:clientData/>
  </xdr:twoCellAnchor>
  <xdr:twoCellAnchor>
    <xdr:from>
      <xdr:col>1</xdr:col>
      <xdr:colOff>159543</xdr:colOff>
      <xdr:row>108</xdr:row>
      <xdr:rowOff>93395</xdr:rowOff>
    </xdr:from>
    <xdr:to>
      <xdr:col>1</xdr:col>
      <xdr:colOff>532606</xdr:colOff>
      <xdr:row>110</xdr:row>
      <xdr:rowOff>27513</xdr:rowOff>
    </xdr:to>
    <xdr:sp macro="" textlink="">
      <xdr:nvSpPr>
        <xdr:cNvPr id="310" name="Oval 24" descr="1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769143" y="27995295"/>
          <a:ext cx="373063" cy="365918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1</xdr:col>
      <xdr:colOff>586582</xdr:colOff>
      <xdr:row>113</xdr:row>
      <xdr:rowOff>36552</xdr:rowOff>
    </xdr:from>
    <xdr:to>
      <xdr:col>5</xdr:col>
      <xdr:colOff>208756</xdr:colOff>
      <xdr:row>115</xdr:row>
      <xdr:rowOff>101639</xdr:rowOff>
    </xdr:to>
    <xdr:sp macro="" textlink="">
      <xdr:nvSpPr>
        <xdr:cNvPr id="311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/>
      </xdr:nvSpPr>
      <xdr:spPr>
        <a:xfrm>
          <a:off x="1196182" y="28992552"/>
          <a:ext cx="3305174" cy="484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la cantidad de material a importar.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159543</xdr:colOff>
      <xdr:row>110</xdr:row>
      <xdr:rowOff>141451</xdr:rowOff>
    </xdr:from>
    <xdr:to>
      <xdr:col>1</xdr:col>
      <xdr:colOff>532606</xdr:colOff>
      <xdr:row>112</xdr:row>
      <xdr:rowOff>112876</xdr:rowOff>
    </xdr:to>
    <xdr:sp macro="" textlink="">
      <xdr:nvSpPr>
        <xdr:cNvPr id="312" name="Oval 26" descr="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769143" y="28475151"/>
          <a:ext cx="373063" cy="390525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1</xdr:col>
      <xdr:colOff>584994</xdr:colOff>
      <xdr:row>110</xdr:row>
      <xdr:rowOff>142914</xdr:rowOff>
    </xdr:from>
    <xdr:to>
      <xdr:col>4</xdr:col>
      <xdr:colOff>207169</xdr:colOff>
      <xdr:row>112</xdr:row>
      <xdr:rowOff>49252</xdr:rowOff>
    </xdr:to>
    <xdr:sp macro="" textlink="">
      <xdr:nvSpPr>
        <xdr:cNvPr id="313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/>
      </xdr:nvSpPr>
      <xdr:spPr>
        <a:xfrm>
          <a:off x="1194594" y="28476614"/>
          <a:ext cx="2479675" cy="325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tipo de mercancía.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161336</xdr:colOff>
      <xdr:row>113</xdr:row>
      <xdr:rowOff>25667</xdr:rowOff>
    </xdr:from>
    <xdr:to>
      <xdr:col>1</xdr:col>
      <xdr:colOff>534399</xdr:colOff>
      <xdr:row>114</xdr:row>
      <xdr:rowOff>185210</xdr:rowOff>
    </xdr:to>
    <xdr:sp macro="" textlink="">
      <xdr:nvSpPr>
        <xdr:cNvPr id="314" name="Oval 28" descr="3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770936" y="28981667"/>
          <a:ext cx="373063" cy="362743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661194</xdr:colOff>
      <xdr:row>105</xdr:row>
      <xdr:rowOff>188952</xdr:rowOff>
    </xdr:from>
    <xdr:to>
      <xdr:col>4</xdr:col>
      <xdr:colOff>715169</xdr:colOff>
      <xdr:row>108</xdr:row>
      <xdr:rowOff>80208</xdr:rowOff>
    </xdr:to>
    <xdr:sp macro="" textlink="">
      <xdr:nvSpPr>
        <xdr:cNvPr id="315" name="Step" descr="More information on the web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/>
      </xdr:nvSpPr>
      <xdr:spPr>
        <a:xfrm>
          <a:off x="1270794" y="27468552"/>
          <a:ext cx="2911475" cy="513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Instrucciones</a:t>
          </a:r>
          <a:r>
            <a:rPr kumimoji="0" lang="es-MX" sz="20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:</a:t>
          </a:r>
          <a:endParaRPr lang="es-MX" sz="2400" b="1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231321</xdr:colOff>
      <xdr:row>124</xdr:row>
      <xdr:rowOff>190501</xdr:rowOff>
    </xdr:from>
    <xdr:to>
      <xdr:col>5</xdr:col>
      <xdr:colOff>733198</xdr:colOff>
      <xdr:row>137</xdr:row>
      <xdr:rowOff>149678</xdr:rowOff>
    </xdr:to>
    <xdr:sp macro="" textlink="">
      <xdr:nvSpPr>
        <xdr:cNvPr id="3" name="Rectangle 47" descr="Background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31321" y="37936715"/>
          <a:ext cx="4760913" cy="2653392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2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290059</xdr:colOff>
      <xdr:row>125</xdr:row>
      <xdr:rowOff>76921</xdr:rowOff>
    </xdr:from>
    <xdr:to>
      <xdr:col>5</xdr:col>
      <xdr:colOff>769711</xdr:colOff>
      <xdr:row>127</xdr:row>
      <xdr:rowOff>175119</xdr:rowOff>
    </xdr:to>
    <xdr:sp macro="" textlink="">
      <xdr:nvSpPr>
        <xdr:cNvPr id="4" name="Step" descr="More information on the web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290059" y="38027242"/>
          <a:ext cx="4738688" cy="506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Sección</a:t>
          </a: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 V. </a:t>
          </a: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Honorarios A.A. e Impuestos</a:t>
          </a:r>
          <a:endParaRPr lang="en-US" sz="1800" b="0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452438</xdr:colOff>
      <xdr:row>130</xdr:row>
      <xdr:rowOff>16823</xdr:rowOff>
    </xdr:from>
    <xdr:to>
      <xdr:col>5</xdr:col>
      <xdr:colOff>650648</xdr:colOff>
      <xdr:row>132</xdr:row>
      <xdr:rowOff>23626</xdr:rowOff>
    </xdr:to>
    <xdr:sp macro="" textlink="">
      <xdr:nvSpPr>
        <xdr:cNvPr id="7" name="Step" descr="Click the cell with the number 100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064759" y="38987680"/>
          <a:ext cx="38449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valor de tu mercancía.</a:t>
          </a:r>
        </a:p>
      </xdr:txBody>
    </xdr:sp>
    <xdr:clientData/>
  </xdr:twoCellAnchor>
  <xdr:twoCellAnchor>
    <xdr:from>
      <xdr:col>1</xdr:col>
      <xdr:colOff>46037</xdr:colOff>
      <xdr:row>130</xdr:row>
      <xdr:rowOff>9373</xdr:rowOff>
    </xdr:from>
    <xdr:to>
      <xdr:col>1</xdr:col>
      <xdr:colOff>419100</xdr:colOff>
      <xdr:row>131</xdr:row>
      <xdr:rowOff>155196</xdr:rowOff>
    </xdr:to>
    <xdr:sp macro="" textlink="">
      <xdr:nvSpPr>
        <xdr:cNvPr id="8" name="Oval 24" descr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653256" y="27227061"/>
          <a:ext cx="373063" cy="360135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1</xdr:col>
      <xdr:colOff>449264</xdr:colOff>
      <xdr:row>134</xdr:row>
      <xdr:rowOff>157433</xdr:rowOff>
    </xdr:from>
    <xdr:to>
      <xdr:col>4</xdr:col>
      <xdr:colOff>540885</xdr:colOff>
      <xdr:row>137</xdr:row>
      <xdr:rowOff>12516</xdr:rowOff>
    </xdr:to>
    <xdr:sp macro="" textlink="">
      <xdr:nvSpPr>
        <xdr:cNvPr id="13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056483" y="33780683"/>
          <a:ext cx="2937215" cy="474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si tu mercancia</a:t>
          </a:r>
          <a:r>
            <a:rPr lang="en-US" sz="12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paga IGI.</a:t>
          </a:r>
          <a:endParaRPr lang="en-US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46037</xdr:colOff>
      <xdr:row>132</xdr:row>
      <xdr:rowOff>88838</xdr:rowOff>
    </xdr:from>
    <xdr:to>
      <xdr:col>1</xdr:col>
      <xdr:colOff>419100</xdr:colOff>
      <xdr:row>134</xdr:row>
      <xdr:rowOff>30554</xdr:rowOff>
    </xdr:to>
    <xdr:sp macro="" textlink="">
      <xdr:nvSpPr>
        <xdr:cNvPr id="14" name="Oval 26" descr="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658358" y="39481517"/>
          <a:ext cx="373063" cy="36353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1</xdr:col>
      <xdr:colOff>447676</xdr:colOff>
      <xdr:row>132</xdr:row>
      <xdr:rowOff>6955</xdr:rowOff>
    </xdr:from>
    <xdr:to>
      <xdr:col>4</xdr:col>
      <xdr:colOff>410105</xdr:colOff>
      <xdr:row>134</xdr:row>
      <xdr:rowOff>83341</xdr:rowOff>
    </xdr:to>
    <xdr:sp macro="" textlink="">
      <xdr:nvSpPr>
        <xdr:cNvPr id="15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1054895" y="33225393"/>
          <a:ext cx="2808023" cy="4811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</a:t>
          </a:r>
          <a:r>
            <a:rPr lang="es-MX" sz="12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si tu mercancía cuenta con Certificado de Origen.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47830</xdr:colOff>
      <xdr:row>134</xdr:row>
      <xdr:rowOff>146545</xdr:rowOff>
    </xdr:from>
    <xdr:to>
      <xdr:col>1</xdr:col>
      <xdr:colOff>420893</xdr:colOff>
      <xdr:row>136</xdr:row>
      <xdr:rowOff>98693</xdr:rowOff>
    </xdr:to>
    <xdr:sp macro="" textlink="">
      <xdr:nvSpPr>
        <xdr:cNvPr id="16" name="Oval 28" descr="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660151" y="39961045"/>
          <a:ext cx="373063" cy="360362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547688</xdr:colOff>
      <xdr:row>127</xdr:row>
      <xdr:rowOff>121144</xdr:rowOff>
    </xdr:from>
    <xdr:to>
      <xdr:col>4</xdr:col>
      <xdr:colOff>594859</xdr:colOff>
      <xdr:row>130</xdr:row>
      <xdr:rowOff>19998</xdr:rowOff>
    </xdr:to>
    <xdr:sp macro="" textlink="">
      <xdr:nvSpPr>
        <xdr:cNvPr id="17" name="Step" descr="More information on the web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160009" y="38479680"/>
          <a:ext cx="2863850" cy="511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Instrucciones</a:t>
          </a:r>
          <a:r>
            <a:rPr kumimoji="0" lang="es-MX" sz="20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:</a:t>
          </a:r>
          <a:endParaRPr lang="es-MX" sz="2400" b="1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244928</xdr:colOff>
      <xdr:row>149</xdr:row>
      <xdr:rowOff>-1</xdr:rowOff>
    </xdr:from>
    <xdr:to>
      <xdr:col>5</xdr:col>
      <xdr:colOff>746805</xdr:colOff>
      <xdr:row>175</xdr:row>
      <xdr:rowOff>190499</xdr:rowOff>
    </xdr:to>
    <xdr:sp macro="" textlink="">
      <xdr:nvSpPr>
        <xdr:cNvPr id="22" name="Rectangle 47" descr="Background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244928" y="31551562"/>
          <a:ext cx="4788127" cy="5393531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12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303666</xdr:colOff>
      <xdr:row>149</xdr:row>
      <xdr:rowOff>90528</xdr:rowOff>
    </xdr:from>
    <xdr:to>
      <xdr:col>5</xdr:col>
      <xdr:colOff>783318</xdr:colOff>
      <xdr:row>151</xdr:row>
      <xdr:rowOff>188727</xdr:rowOff>
    </xdr:to>
    <xdr:sp macro="" textlink="">
      <xdr:nvSpPr>
        <xdr:cNvPr id="23" name="Step" descr="More information on the web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303666" y="43633385"/>
          <a:ext cx="4738688" cy="506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Sección</a:t>
          </a: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 VI. Informacion de </a:t>
          </a:r>
          <a:r>
            <a:rPr kumimoji="0" lang="es-MX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mercancías</a:t>
          </a:r>
          <a:r>
            <a:rPr kumimoji="0" lang="en-US" sz="1800" b="0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 </a:t>
          </a:r>
          <a:endParaRPr lang="en-US" sz="1800" b="0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259671</xdr:colOff>
      <xdr:row>166</xdr:row>
      <xdr:rowOff>16636</xdr:rowOff>
    </xdr:from>
    <xdr:to>
      <xdr:col>5</xdr:col>
      <xdr:colOff>227693</xdr:colOff>
      <xdr:row>166</xdr:row>
      <xdr:rowOff>16636</xdr:rowOff>
    </xdr:to>
    <xdr:cxnSp macro="">
      <xdr:nvCxnSpPr>
        <xdr:cNvPr id="24" name="Straight Connector 51" descr="Decorative line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>
          <a:cxnSpLocks/>
        </xdr:cNvCxnSpPr>
      </xdr:nvCxnSpPr>
      <xdr:spPr>
        <a:xfrm>
          <a:off x="871992" y="47192600"/>
          <a:ext cx="3614737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475570</xdr:colOff>
      <xdr:row>154</xdr:row>
      <xdr:rowOff>55830</xdr:rowOff>
    </xdr:from>
    <xdr:to>
      <xdr:col>5</xdr:col>
      <xdr:colOff>664255</xdr:colOff>
      <xdr:row>156</xdr:row>
      <xdr:rowOff>62634</xdr:rowOff>
    </xdr:to>
    <xdr:sp macro="" textlink="">
      <xdr:nvSpPr>
        <xdr:cNvPr id="25" name="Step" descr="Click the cell with the number 10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085170" y="38003430"/>
          <a:ext cx="3871685" cy="438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costo de Flete de Origen o Proveedor.</a:t>
          </a:r>
        </a:p>
      </xdr:txBody>
    </xdr:sp>
    <xdr:clientData/>
  </xdr:twoCellAnchor>
  <xdr:twoCellAnchor>
    <xdr:from>
      <xdr:col>1</xdr:col>
      <xdr:colOff>59644</xdr:colOff>
      <xdr:row>154</xdr:row>
      <xdr:rowOff>46792</xdr:rowOff>
    </xdr:from>
    <xdr:to>
      <xdr:col>1</xdr:col>
      <xdr:colOff>432707</xdr:colOff>
      <xdr:row>155</xdr:row>
      <xdr:rowOff>206222</xdr:rowOff>
    </xdr:to>
    <xdr:sp macro="" textlink="">
      <xdr:nvSpPr>
        <xdr:cNvPr id="26" name="Oval 24" descr="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671965" y="44610185"/>
          <a:ext cx="373063" cy="36353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>
    <xdr:from>
      <xdr:col>1</xdr:col>
      <xdr:colOff>486683</xdr:colOff>
      <xdr:row>158</xdr:row>
      <xdr:rowOff>171037</xdr:rowOff>
    </xdr:from>
    <xdr:to>
      <xdr:col>5</xdr:col>
      <xdr:colOff>227692</xdr:colOff>
      <xdr:row>160</xdr:row>
      <xdr:rowOff>216621</xdr:rowOff>
    </xdr:to>
    <xdr:sp macro="" textlink="">
      <xdr:nvSpPr>
        <xdr:cNvPr id="27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/>
      </xdr:nvSpPr>
      <xdr:spPr>
        <a:xfrm>
          <a:off x="1099004" y="45578073"/>
          <a:ext cx="3387724" cy="481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costo de Flete de importación.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59644</xdr:colOff>
      <xdr:row>156</xdr:row>
      <xdr:rowOff>102446</xdr:rowOff>
    </xdr:from>
    <xdr:to>
      <xdr:col>1</xdr:col>
      <xdr:colOff>432707</xdr:colOff>
      <xdr:row>158</xdr:row>
      <xdr:rowOff>44161</xdr:rowOff>
    </xdr:to>
    <xdr:sp macro="" textlink="">
      <xdr:nvSpPr>
        <xdr:cNvPr id="28" name="Oval 26" descr="2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671965" y="45087660"/>
          <a:ext cx="373063" cy="363537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>
    <xdr:from>
      <xdr:col>1</xdr:col>
      <xdr:colOff>485094</xdr:colOff>
      <xdr:row>156</xdr:row>
      <xdr:rowOff>103909</xdr:rowOff>
    </xdr:from>
    <xdr:to>
      <xdr:col>5</xdr:col>
      <xdr:colOff>227692</xdr:colOff>
      <xdr:row>157</xdr:row>
      <xdr:rowOff>162413</xdr:rowOff>
    </xdr:to>
    <xdr:sp macro="" textlink="">
      <xdr:nvSpPr>
        <xdr:cNvPr id="29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/>
      </xdr:nvSpPr>
      <xdr:spPr>
        <a:xfrm>
          <a:off x="1097415" y="45089123"/>
          <a:ext cx="3389313" cy="27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costo de Bodega o Recinto.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61437</xdr:colOff>
      <xdr:row>158</xdr:row>
      <xdr:rowOff>160152</xdr:rowOff>
    </xdr:from>
    <xdr:to>
      <xdr:col>1</xdr:col>
      <xdr:colOff>434500</xdr:colOff>
      <xdr:row>160</xdr:row>
      <xdr:rowOff>85086</xdr:rowOff>
    </xdr:to>
    <xdr:sp macro="" textlink="">
      <xdr:nvSpPr>
        <xdr:cNvPr id="30" name="Oval 28" descr="3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673758" y="45567188"/>
          <a:ext cx="373063" cy="360362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>
    <xdr:from>
      <xdr:col>1</xdr:col>
      <xdr:colOff>485094</xdr:colOff>
      <xdr:row>161</xdr:row>
      <xdr:rowOff>17232</xdr:rowOff>
    </xdr:from>
    <xdr:to>
      <xdr:col>5</xdr:col>
      <xdr:colOff>561067</xdr:colOff>
      <xdr:row>162</xdr:row>
      <xdr:rowOff>154211</xdr:rowOff>
    </xdr:to>
    <xdr:sp macro="" textlink="">
      <xdr:nvSpPr>
        <xdr:cNvPr id="31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1097415" y="46077411"/>
          <a:ext cx="3722688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costo de Honorarios de Agente Aduanal.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lvl="0">
            <a:defRPr/>
          </a:pP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50231</xdr:colOff>
      <xdr:row>160</xdr:row>
      <xdr:rowOff>216334</xdr:rowOff>
    </xdr:from>
    <xdr:to>
      <xdr:col>1</xdr:col>
      <xdr:colOff>424881</xdr:colOff>
      <xdr:row>162</xdr:row>
      <xdr:rowOff>127661</xdr:rowOff>
    </xdr:to>
    <xdr:sp macro="" textlink="">
      <xdr:nvSpPr>
        <xdr:cNvPr id="32" name="Oval 28" descr="3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662552" y="46058798"/>
          <a:ext cx="374650" cy="360363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1</xdr:col>
      <xdr:colOff>561295</xdr:colOff>
      <xdr:row>151</xdr:row>
      <xdr:rowOff>134752</xdr:rowOff>
    </xdr:from>
    <xdr:to>
      <xdr:col>4</xdr:col>
      <xdr:colOff>608466</xdr:colOff>
      <xdr:row>154</xdr:row>
      <xdr:rowOff>33605</xdr:rowOff>
    </xdr:to>
    <xdr:sp macro="" textlink="">
      <xdr:nvSpPr>
        <xdr:cNvPr id="33" name="Step" descr="More information on the web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1173616" y="44085823"/>
          <a:ext cx="2863850" cy="511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Instrucciones</a:t>
          </a:r>
          <a:r>
            <a:rPr kumimoji="0" lang="es-MX" sz="20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:</a:t>
          </a:r>
          <a:endParaRPr lang="es-MX" sz="2400" b="1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573996</xdr:colOff>
      <xdr:row>167</xdr:row>
      <xdr:rowOff>71404</xdr:rowOff>
    </xdr:from>
    <xdr:to>
      <xdr:col>4</xdr:col>
      <xdr:colOff>635454</xdr:colOff>
      <xdr:row>170</xdr:row>
      <xdr:rowOff>124812</xdr:rowOff>
    </xdr:to>
    <xdr:sp macro="" textlink="">
      <xdr:nvSpPr>
        <xdr:cNvPr id="34" name="Step" descr="More information on the web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1181215" y="40826498"/>
          <a:ext cx="2907052" cy="470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Notas:</a:t>
          </a:r>
        </a:p>
      </xdr:txBody>
    </xdr:sp>
    <xdr:clientData/>
  </xdr:twoCellAnchor>
  <xdr:twoCellAnchor>
    <xdr:from>
      <xdr:col>1</xdr:col>
      <xdr:colOff>485094</xdr:colOff>
      <xdr:row>163</xdr:row>
      <xdr:rowOff>59280</xdr:rowOff>
    </xdr:from>
    <xdr:to>
      <xdr:col>5</xdr:col>
      <xdr:colOff>338816</xdr:colOff>
      <xdr:row>164</xdr:row>
      <xdr:rowOff>209865</xdr:rowOff>
    </xdr:to>
    <xdr:sp macro="" textlink="">
      <xdr:nvSpPr>
        <xdr:cNvPr id="37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1097415" y="46568494"/>
          <a:ext cx="3500437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2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el costo de Impuestos de importación.</a:t>
          </a:r>
          <a:endParaRPr lang="es-MX" sz="12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54020</xdr:colOff>
      <xdr:row>163</xdr:row>
      <xdr:rowOff>38894</xdr:rowOff>
    </xdr:from>
    <xdr:to>
      <xdr:col>1</xdr:col>
      <xdr:colOff>428670</xdr:colOff>
      <xdr:row>164</xdr:row>
      <xdr:rowOff>181542</xdr:rowOff>
    </xdr:to>
    <xdr:sp macro="" textlink="">
      <xdr:nvSpPr>
        <xdr:cNvPr id="55" name="Oval 28" descr="3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666341" y="46548108"/>
          <a:ext cx="374650" cy="360363"/>
        </a:xfrm>
        <a:prstGeom prst="ellipse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5</a:t>
          </a:r>
        </a:p>
      </xdr:txBody>
    </xdr:sp>
    <xdr:clientData/>
  </xdr:twoCellAnchor>
  <xdr:twoCellAnchor>
    <xdr:from>
      <xdr:col>1</xdr:col>
      <xdr:colOff>79942</xdr:colOff>
      <xdr:row>169</xdr:row>
      <xdr:rowOff>193466</xdr:rowOff>
    </xdr:from>
    <xdr:to>
      <xdr:col>1</xdr:col>
      <xdr:colOff>414905</xdr:colOff>
      <xdr:row>171</xdr:row>
      <xdr:rowOff>88465</xdr:rowOff>
    </xdr:to>
    <xdr:sp macro="" textlink="">
      <xdr:nvSpPr>
        <xdr:cNvPr id="260" name="Oval 26" descr="2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687161" y="35936029"/>
          <a:ext cx="334963" cy="299811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wordArtVert"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</a:t>
          </a:r>
          <a:endParaRPr lang="en-US" sz="14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</xdr:col>
      <xdr:colOff>479295</xdr:colOff>
      <xdr:row>169</xdr:row>
      <xdr:rowOff>108156</xdr:rowOff>
    </xdr:from>
    <xdr:to>
      <xdr:col>5</xdr:col>
      <xdr:colOff>321470</xdr:colOff>
      <xdr:row>171</xdr:row>
      <xdr:rowOff>171430</xdr:rowOff>
    </xdr:to>
    <xdr:sp macro="" textlink="">
      <xdr:nvSpPr>
        <xdr:cNvPr id="261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/>
      </xdr:nvSpPr>
      <xdr:spPr>
        <a:xfrm>
          <a:off x="1086514" y="41470469"/>
          <a:ext cx="3521206" cy="468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050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Agrega este Costo</a:t>
          </a:r>
          <a:r>
            <a:rPr lang="es-MX" sz="1050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Logistico al valor de tu mercancía sobre el cual agregaras la utilidad deseada</a:t>
          </a:r>
          <a:r>
            <a:rPr lang="en-US" sz="1050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  <a:endParaRPr lang="en-US" sz="1050" b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899583</xdr:colOff>
      <xdr:row>139</xdr:row>
      <xdr:rowOff>134559</xdr:rowOff>
    </xdr:from>
    <xdr:to>
      <xdr:col>4</xdr:col>
      <xdr:colOff>479274</xdr:colOff>
      <xdr:row>142</xdr:row>
      <xdr:rowOff>67090</xdr:rowOff>
    </xdr:to>
    <xdr:sp macro="" textlink="">
      <xdr:nvSpPr>
        <xdr:cNvPr id="5" name="Step" descr="Click the cell with the number 100">
          <a:extLst>
            <a:ext uri="{FF2B5EF4-FFF2-40B4-BE49-F238E27FC236}">
              <a16:creationId xmlns:a16="http://schemas.microsoft.com/office/drawing/2014/main" id="{CE0FDF5B-F294-4523-938C-2F54DD92AE96}"/>
            </a:ext>
          </a:extLst>
        </xdr:cNvPr>
        <xdr:cNvSpPr txBox="1"/>
      </xdr:nvSpPr>
      <xdr:spPr>
        <a:xfrm>
          <a:off x="2508250" y="41060309"/>
          <a:ext cx="1442357" cy="5569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Honorarios</a:t>
          </a:r>
        </a:p>
      </xdr:txBody>
    </xdr:sp>
    <xdr:clientData/>
  </xdr:twoCellAnchor>
  <xdr:twoCellAnchor>
    <xdr:from>
      <xdr:col>8</xdr:col>
      <xdr:colOff>459317</xdr:colOff>
      <xdr:row>139</xdr:row>
      <xdr:rowOff>128208</xdr:rowOff>
    </xdr:from>
    <xdr:to>
      <xdr:col>9</xdr:col>
      <xdr:colOff>769257</xdr:colOff>
      <xdr:row>142</xdr:row>
      <xdr:rowOff>60739</xdr:rowOff>
    </xdr:to>
    <xdr:sp macro="" textlink="">
      <xdr:nvSpPr>
        <xdr:cNvPr id="20" name="Step" descr="Click the cell with the number 100">
          <a:extLst>
            <a:ext uri="{FF2B5EF4-FFF2-40B4-BE49-F238E27FC236}">
              <a16:creationId xmlns:a16="http://schemas.microsoft.com/office/drawing/2014/main" id="{0131F752-EBE4-41DA-A5BC-D236648B5E85}"/>
            </a:ext>
          </a:extLst>
        </xdr:cNvPr>
        <xdr:cNvSpPr txBox="1"/>
      </xdr:nvSpPr>
      <xdr:spPr>
        <a:xfrm>
          <a:off x="7095067" y="41053958"/>
          <a:ext cx="1442357" cy="5569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Impuestos</a:t>
          </a:r>
        </a:p>
      </xdr:txBody>
    </xdr:sp>
    <xdr:clientData/>
  </xdr:twoCellAnchor>
  <xdr:twoCellAnchor>
    <xdr:from>
      <xdr:col>7</xdr:col>
      <xdr:colOff>384094</xdr:colOff>
      <xdr:row>70</xdr:row>
      <xdr:rowOff>0</xdr:rowOff>
    </xdr:from>
    <xdr:to>
      <xdr:col>13</xdr:col>
      <xdr:colOff>116486</xdr:colOff>
      <xdr:row>72</xdr:row>
      <xdr:rowOff>67210</xdr:rowOff>
    </xdr:to>
    <xdr:sp macro="" textlink="">
      <xdr:nvSpPr>
        <xdr:cNvPr id="59" name="Step" descr="Here’s how to use the fill handle in Excel:">
          <a:extLst>
            <a:ext uri="{FF2B5EF4-FFF2-40B4-BE49-F238E27FC236}">
              <a16:creationId xmlns:a16="http://schemas.microsoft.com/office/drawing/2014/main" id="{2C416ECB-0BC8-4697-BDED-197CCD4C4E9A}"/>
            </a:ext>
          </a:extLst>
        </xdr:cNvPr>
        <xdr:cNvSpPr txBox="1"/>
      </xdr:nvSpPr>
      <xdr:spPr>
        <a:xfrm>
          <a:off x="6177026" y="20080432"/>
          <a:ext cx="4442937" cy="543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Agrega tu información a cada una de las siguientes casillas:</a:t>
          </a:r>
        </a:p>
      </xdr:txBody>
    </xdr:sp>
    <xdr:clientData/>
  </xdr:twoCellAnchor>
  <xdr:twoCellAnchor>
    <xdr:from>
      <xdr:col>7</xdr:col>
      <xdr:colOff>241218</xdr:colOff>
      <xdr:row>71</xdr:row>
      <xdr:rowOff>129732</xdr:rowOff>
    </xdr:from>
    <xdr:to>
      <xdr:col>12</xdr:col>
      <xdr:colOff>21235</xdr:colOff>
      <xdr:row>71</xdr:row>
      <xdr:rowOff>130296</xdr:rowOff>
    </xdr:to>
    <xdr:cxnSp macro="">
      <xdr:nvCxnSpPr>
        <xdr:cNvPr id="262" name="Straight Connector 51" descr="Decorative line">
          <a:extLst>
            <a:ext uri="{FF2B5EF4-FFF2-40B4-BE49-F238E27FC236}">
              <a16:creationId xmlns:a16="http://schemas.microsoft.com/office/drawing/2014/main" id="{08784B3A-8191-4959-B468-CFF7BDE2A99E}"/>
            </a:ext>
          </a:extLst>
        </xdr:cNvPr>
        <xdr:cNvCxnSpPr>
          <a:cxnSpLocks/>
        </xdr:cNvCxnSpPr>
      </xdr:nvCxnSpPr>
      <xdr:spPr>
        <a:xfrm>
          <a:off x="6034150" y="20487255"/>
          <a:ext cx="3945040" cy="564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309561</xdr:colOff>
      <xdr:row>94</xdr:row>
      <xdr:rowOff>35718</xdr:rowOff>
    </xdr:from>
    <xdr:to>
      <xdr:col>5</xdr:col>
      <xdr:colOff>666749</xdr:colOff>
      <xdr:row>96</xdr:row>
      <xdr:rowOff>107156</xdr:rowOff>
    </xdr:to>
    <xdr:sp macro="" textlink="$P$94">
      <xdr:nvSpPr>
        <xdr:cNvPr id="269" name="Step" descr="Click the cell with the number 100">
          <a:extLst>
            <a:ext uri="{FF2B5EF4-FFF2-40B4-BE49-F238E27FC236}">
              <a16:creationId xmlns:a16="http://schemas.microsoft.com/office/drawing/2014/main" id="{6CE9BAA2-2F3B-4B52-9402-3BF5EA2C5805}"/>
            </a:ext>
          </a:extLst>
        </xdr:cNvPr>
        <xdr:cNvSpPr txBox="1"/>
      </xdr:nvSpPr>
      <xdr:spPr>
        <a:xfrm>
          <a:off x="2905124" y="19502437"/>
          <a:ext cx="2047875" cy="488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A391226-5452-44E5-B449-1553AF766DA4}" type="TxLink">
            <a:rPr kumimoji="0" lang="en-US" sz="1600" b="1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$2,764.00 </a:t>
          </a:fld>
          <a:endParaRPr kumimoji="0" lang="en-US" sz="1600" b="1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8</xdr:col>
      <xdr:colOff>357186</xdr:colOff>
      <xdr:row>94</xdr:row>
      <xdr:rowOff>35720</xdr:rowOff>
    </xdr:from>
    <xdr:to>
      <xdr:col>10</xdr:col>
      <xdr:colOff>392905</xdr:colOff>
      <xdr:row>96</xdr:row>
      <xdr:rowOff>130970</xdr:rowOff>
    </xdr:to>
    <xdr:sp macro="" textlink="$S$97">
      <xdr:nvSpPr>
        <xdr:cNvPr id="11" name="Step" descr="Click the cell with the number 100">
          <a:extLst>
            <a:ext uri="{FF2B5EF4-FFF2-40B4-BE49-F238E27FC236}">
              <a16:creationId xmlns:a16="http://schemas.microsoft.com/office/drawing/2014/main" id="{7C22600B-0C23-4A31-BEBC-8463017AF002}"/>
            </a:ext>
          </a:extLst>
        </xdr:cNvPr>
        <xdr:cNvSpPr txBox="1"/>
      </xdr:nvSpPr>
      <xdr:spPr>
        <a:xfrm>
          <a:off x="6977061" y="19502439"/>
          <a:ext cx="2024063" cy="511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845DF4B-3CE9-46AB-BCC5-D8EF859BB0A5}" type="TxLink">
            <a:rPr kumimoji="0" lang="en-US" sz="1600" b="1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$280.00 </a:t>
          </a:fld>
          <a:endParaRPr kumimoji="0" lang="en-US" sz="1600" b="1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2</xdr:col>
      <xdr:colOff>438147</xdr:colOff>
      <xdr:row>92</xdr:row>
      <xdr:rowOff>140494</xdr:rowOff>
    </xdr:from>
    <xdr:to>
      <xdr:col>3</xdr:col>
      <xdr:colOff>178593</xdr:colOff>
      <xdr:row>95</xdr:row>
      <xdr:rowOff>83344</xdr:rowOff>
    </xdr:to>
    <xdr:sp macro="" textlink="">
      <xdr:nvSpPr>
        <xdr:cNvPr id="12" name="Oval 26" descr="2">
          <a:extLst>
            <a:ext uri="{FF2B5EF4-FFF2-40B4-BE49-F238E27FC236}">
              <a16:creationId xmlns:a16="http://schemas.microsoft.com/office/drawing/2014/main" id="{8B7A5D3F-8165-4767-B92A-4DB07122B739}"/>
            </a:ext>
          </a:extLst>
        </xdr:cNvPr>
        <xdr:cNvSpPr/>
      </xdr:nvSpPr>
      <xdr:spPr>
        <a:xfrm>
          <a:off x="2033585" y="19190494"/>
          <a:ext cx="740571" cy="561975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C1</a:t>
          </a:r>
        </a:p>
      </xdr:txBody>
    </xdr:sp>
    <xdr:clientData/>
  </xdr:twoCellAnchor>
  <xdr:twoCellAnchor>
    <xdr:from>
      <xdr:col>3</xdr:col>
      <xdr:colOff>309562</xdr:colOff>
      <xdr:row>91</xdr:row>
      <xdr:rowOff>90486</xdr:rowOff>
    </xdr:from>
    <xdr:to>
      <xdr:col>5</xdr:col>
      <xdr:colOff>619125</xdr:colOff>
      <xdr:row>94</xdr:row>
      <xdr:rowOff>23018</xdr:rowOff>
    </xdr:to>
    <xdr:sp macro="" textlink="">
      <xdr:nvSpPr>
        <xdr:cNvPr id="18" name="Step" descr="Click the cell with the number 100">
          <a:extLst>
            <a:ext uri="{FF2B5EF4-FFF2-40B4-BE49-F238E27FC236}">
              <a16:creationId xmlns:a16="http://schemas.microsoft.com/office/drawing/2014/main" id="{7D32AC33-B8BF-4B05-B28F-DC5DBB4EE8E0}"/>
            </a:ext>
          </a:extLst>
        </xdr:cNvPr>
        <xdr:cNvSpPr txBox="1"/>
      </xdr:nvSpPr>
      <xdr:spPr>
        <a:xfrm>
          <a:off x="2905125" y="18926174"/>
          <a:ext cx="2000250" cy="563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Flete Proveedor</a:t>
          </a:r>
          <a:endParaRPr kumimoji="0" lang="en-US" sz="14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8</xdr:col>
      <xdr:colOff>366711</xdr:colOff>
      <xdr:row>91</xdr:row>
      <xdr:rowOff>123823</xdr:rowOff>
    </xdr:from>
    <xdr:to>
      <xdr:col>10</xdr:col>
      <xdr:colOff>378617</xdr:colOff>
      <xdr:row>94</xdr:row>
      <xdr:rowOff>56355</xdr:rowOff>
    </xdr:to>
    <xdr:sp macro="" textlink="">
      <xdr:nvSpPr>
        <xdr:cNvPr id="249" name="Step" descr="Click the cell with the number 100">
          <a:extLst>
            <a:ext uri="{FF2B5EF4-FFF2-40B4-BE49-F238E27FC236}">
              <a16:creationId xmlns:a16="http://schemas.microsoft.com/office/drawing/2014/main" id="{6848C99F-3FD6-4A2D-921C-A8B646354635}"/>
            </a:ext>
          </a:extLst>
        </xdr:cNvPr>
        <xdr:cNvSpPr txBox="1"/>
      </xdr:nvSpPr>
      <xdr:spPr>
        <a:xfrm>
          <a:off x="6986586" y="18959511"/>
          <a:ext cx="2000250" cy="563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Flete Importacion</a:t>
          </a:r>
          <a:endParaRPr kumimoji="0" lang="en-US" sz="14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7</xdr:col>
      <xdr:colOff>292891</xdr:colOff>
      <xdr:row>92</xdr:row>
      <xdr:rowOff>126206</xdr:rowOff>
    </xdr:from>
    <xdr:to>
      <xdr:col>8</xdr:col>
      <xdr:colOff>200025</xdr:colOff>
      <xdr:row>95</xdr:row>
      <xdr:rowOff>69056</xdr:rowOff>
    </xdr:to>
    <xdr:sp macro="" textlink="">
      <xdr:nvSpPr>
        <xdr:cNvPr id="251" name="Oval 26" descr="2">
          <a:extLst>
            <a:ext uri="{FF2B5EF4-FFF2-40B4-BE49-F238E27FC236}">
              <a16:creationId xmlns:a16="http://schemas.microsoft.com/office/drawing/2014/main" id="{44616399-8E1B-4FF0-842D-45C8EECC91CF}"/>
            </a:ext>
          </a:extLst>
        </xdr:cNvPr>
        <xdr:cNvSpPr/>
      </xdr:nvSpPr>
      <xdr:spPr>
        <a:xfrm>
          <a:off x="6079329" y="19176206"/>
          <a:ext cx="740571" cy="561975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C2</a:t>
          </a:r>
        </a:p>
      </xdr:txBody>
    </xdr:sp>
    <xdr:clientData/>
  </xdr:twoCellAnchor>
  <xdr:twoCellAnchor>
    <xdr:from>
      <xdr:col>8</xdr:col>
      <xdr:colOff>47626</xdr:colOff>
      <xdr:row>116</xdr:row>
      <xdr:rowOff>0</xdr:rowOff>
    </xdr:from>
    <xdr:to>
      <xdr:col>8</xdr:col>
      <xdr:colOff>788197</xdr:colOff>
      <xdr:row>118</xdr:row>
      <xdr:rowOff>145256</xdr:rowOff>
    </xdr:to>
    <xdr:sp macro="" textlink="">
      <xdr:nvSpPr>
        <xdr:cNvPr id="252" name="Oval 26" descr="2">
          <a:extLst>
            <a:ext uri="{FF2B5EF4-FFF2-40B4-BE49-F238E27FC236}">
              <a16:creationId xmlns:a16="http://schemas.microsoft.com/office/drawing/2014/main" id="{A6574010-FEB8-4221-A3BD-51EFD6FB6A89}"/>
            </a:ext>
          </a:extLst>
        </xdr:cNvPr>
        <xdr:cNvSpPr/>
      </xdr:nvSpPr>
      <xdr:spPr>
        <a:xfrm>
          <a:off x="6667501" y="24193500"/>
          <a:ext cx="740571" cy="561975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C3</a:t>
          </a:r>
        </a:p>
      </xdr:txBody>
    </xdr:sp>
    <xdr:clientData/>
  </xdr:twoCellAnchor>
  <xdr:twoCellAnchor>
    <xdr:from>
      <xdr:col>7</xdr:col>
      <xdr:colOff>330994</xdr:colOff>
      <xdr:row>140</xdr:row>
      <xdr:rowOff>164306</xdr:rowOff>
    </xdr:from>
    <xdr:to>
      <xdr:col>8</xdr:col>
      <xdr:colOff>238128</xdr:colOff>
      <xdr:row>143</xdr:row>
      <xdr:rowOff>107156</xdr:rowOff>
    </xdr:to>
    <xdr:sp macro="" textlink="">
      <xdr:nvSpPr>
        <xdr:cNvPr id="253" name="Oval 26" descr="2">
          <a:extLst>
            <a:ext uri="{FF2B5EF4-FFF2-40B4-BE49-F238E27FC236}">
              <a16:creationId xmlns:a16="http://schemas.microsoft.com/office/drawing/2014/main" id="{1731C9A7-66A8-44E1-BB65-BE89454E551F}"/>
            </a:ext>
          </a:extLst>
        </xdr:cNvPr>
        <xdr:cNvSpPr/>
      </xdr:nvSpPr>
      <xdr:spPr>
        <a:xfrm>
          <a:off x="6117432" y="29489400"/>
          <a:ext cx="740571" cy="561975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C5</a:t>
          </a:r>
        </a:p>
      </xdr:txBody>
    </xdr:sp>
    <xdr:clientData/>
  </xdr:twoCellAnchor>
  <xdr:twoCellAnchor>
    <xdr:from>
      <xdr:col>1</xdr:col>
      <xdr:colOff>923926</xdr:colOff>
      <xdr:row>140</xdr:row>
      <xdr:rowOff>138112</xdr:rowOff>
    </xdr:from>
    <xdr:to>
      <xdr:col>2</xdr:col>
      <xdr:colOff>676278</xdr:colOff>
      <xdr:row>143</xdr:row>
      <xdr:rowOff>80962</xdr:rowOff>
    </xdr:to>
    <xdr:sp macro="" textlink="">
      <xdr:nvSpPr>
        <xdr:cNvPr id="254" name="Oval 26" descr="2">
          <a:extLst>
            <a:ext uri="{FF2B5EF4-FFF2-40B4-BE49-F238E27FC236}">
              <a16:creationId xmlns:a16="http://schemas.microsoft.com/office/drawing/2014/main" id="{78A15E3C-CD3A-4248-A206-6E97F732C4AA}"/>
            </a:ext>
          </a:extLst>
        </xdr:cNvPr>
        <xdr:cNvSpPr/>
      </xdr:nvSpPr>
      <xdr:spPr>
        <a:xfrm>
          <a:off x="1531145" y="29463206"/>
          <a:ext cx="740571" cy="561975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C4</a:t>
          </a:r>
        </a:p>
      </xdr:txBody>
    </xdr:sp>
    <xdr:clientData/>
  </xdr:twoCellAnchor>
  <xdr:twoCellAnchor>
    <xdr:from>
      <xdr:col>7</xdr:col>
      <xdr:colOff>214312</xdr:colOff>
      <xdr:row>171</xdr:row>
      <xdr:rowOff>178594</xdr:rowOff>
    </xdr:from>
    <xdr:to>
      <xdr:col>8</xdr:col>
      <xdr:colOff>253999</xdr:colOff>
      <xdr:row>174</xdr:row>
      <xdr:rowOff>133350</xdr:rowOff>
    </xdr:to>
    <xdr:sp macro="" textlink="">
      <xdr:nvSpPr>
        <xdr:cNvPr id="35" name="Oval 26" descr="2">
          <a:extLst>
            <a:ext uri="{FF2B5EF4-FFF2-40B4-BE49-F238E27FC236}">
              <a16:creationId xmlns:a16="http://schemas.microsoft.com/office/drawing/2014/main" id="{00267CC7-280B-4B57-AF5A-CD1EFE9D92F9}"/>
            </a:ext>
          </a:extLst>
        </xdr:cNvPr>
        <xdr:cNvSpPr/>
      </xdr:nvSpPr>
      <xdr:spPr>
        <a:xfrm>
          <a:off x="6018212" y="41732994"/>
          <a:ext cx="877887" cy="564356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</a:rPr>
            <a:t>CLOG</a:t>
          </a:r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</a:p>
      </xdr:txBody>
    </xdr:sp>
    <xdr:clientData/>
  </xdr:twoCellAnchor>
  <xdr:twoCellAnchor>
    <xdr:from>
      <xdr:col>1</xdr:col>
      <xdr:colOff>83343</xdr:colOff>
      <xdr:row>172</xdr:row>
      <xdr:rowOff>97217</xdr:rowOff>
    </xdr:from>
    <xdr:to>
      <xdr:col>1</xdr:col>
      <xdr:colOff>418306</xdr:colOff>
      <xdr:row>173</xdr:row>
      <xdr:rowOff>194621</xdr:rowOff>
    </xdr:to>
    <xdr:sp macro="" textlink="">
      <xdr:nvSpPr>
        <xdr:cNvPr id="60" name="Oval 26" descr="2">
          <a:extLst>
            <a:ext uri="{FF2B5EF4-FFF2-40B4-BE49-F238E27FC236}">
              <a16:creationId xmlns:a16="http://schemas.microsoft.com/office/drawing/2014/main" id="{FF8C384D-7628-41E2-980A-45D896E83189}"/>
            </a:ext>
          </a:extLst>
        </xdr:cNvPr>
        <xdr:cNvSpPr/>
      </xdr:nvSpPr>
      <xdr:spPr>
        <a:xfrm>
          <a:off x="690562" y="36446998"/>
          <a:ext cx="334963" cy="299811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wordArtVert"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</a:t>
          </a:r>
          <a:endParaRPr lang="en-US" sz="14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</xdr:col>
      <xdr:colOff>482695</xdr:colOff>
      <xdr:row>172</xdr:row>
      <xdr:rowOff>23813</xdr:rowOff>
    </xdr:from>
    <xdr:to>
      <xdr:col>5</xdr:col>
      <xdr:colOff>404812</xdr:colOff>
      <xdr:row>174</xdr:row>
      <xdr:rowOff>87086</xdr:rowOff>
    </xdr:to>
    <xdr:sp macro="" textlink="">
      <xdr:nvSpPr>
        <xdr:cNvPr id="62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AE556CC0-3DE8-4F80-9C2C-0538C358A05B}"/>
            </a:ext>
          </a:extLst>
        </xdr:cNvPr>
        <xdr:cNvSpPr txBox="1"/>
      </xdr:nvSpPr>
      <xdr:spPr>
        <a:xfrm>
          <a:off x="1089914" y="41993344"/>
          <a:ext cx="3601148" cy="468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s-MX" sz="1050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Este Costo Logistico es calculado</a:t>
          </a:r>
          <a:r>
            <a:rPr lang="es-MX" sz="1050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para venta individual, este podra bajar cuando se consolida la importación. </a:t>
          </a:r>
          <a:endParaRPr lang="en-US" sz="1050" b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1023937</xdr:colOff>
      <xdr:row>114</xdr:row>
      <xdr:rowOff>190501</xdr:rowOff>
    </xdr:from>
    <xdr:to>
      <xdr:col>11</xdr:col>
      <xdr:colOff>95629</xdr:colOff>
      <xdr:row>117</xdr:row>
      <xdr:rowOff>47625</xdr:rowOff>
    </xdr:to>
    <xdr:sp macro="" textlink="">
      <xdr:nvSpPr>
        <xdr:cNvPr id="63" name="Step" descr="Click the cell with the number 100">
          <a:extLst>
            <a:ext uri="{FF2B5EF4-FFF2-40B4-BE49-F238E27FC236}">
              <a16:creationId xmlns:a16="http://schemas.microsoft.com/office/drawing/2014/main" id="{D810FC0B-E95F-49E5-9FCB-56AE53B1811F}"/>
            </a:ext>
          </a:extLst>
        </xdr:cNvPr>
        <xdr:cNvSpPr txBox="1"/>
      </xdr:nvSpPr>
      <xdr:spPr>
        <a:xfrm>
          <a:off x="7643812" y="23967282"/>
          <a:ext cx="1917286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Bodega &amp; Recinto</a:t>
          </a:r>
        </a:p>
      </xdr:txBody>
    </xdr:sp>
    <xdr:clientData/>
  </xdr:twoCellAnchor>
  <xdr:twoCellAnchor>
    <xdr:from>
      <xdr:col>3</xdr:col>
      <xdr:colOff>739204</xdr:colOff>
      <xdr:row>5</xdr:row>
      <xdr:rowOff>285102</xdr:rowOff>
    </xdr:from>
    <xdr:to>
      <xdr:col>8</xdr:col>
      <xdr:colOff>624290</xdr:colOff>
      <xdr:row>7</xdr:row>
      <xdr:rowOff>10552</xdr:rowOff>
    </xdr:to>
    <xdr:sp macro="" textlink="">
      <xdr:nvSpPr>
        <xdr:cNvPr id="294" name="Step" descr="Save time by filling cells automatically">
          <a:extLst>
            <a:ext uri="{FF2B5EF4-FFF2-40B4-BE49-F238E27FC236}">
              <a16:creationId xmlns:a16="http://schemas.microsoft.com/office/drawing/2014/main" id="{4977CA3F-FC92-419F-83ED-7FC5EDE3E7D0}"/>
            </a:ext>
          </a:extLst>
        </xdr:cNvPr>
        <xdr:cNvSpPr txBox="1"/>
      </xdr:nvSpPr>
      <xdr:spPr>
        <a:xfrm>
          <a:off x="3342704" y="1847202"/>
          <a:ext cx="3923686" cy="74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Arma tu Costo Logístico Paso a Paso</a:t>
          </a:r>
          <a:endParaRPr lang="en-US" sz="2000" b="1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528955</xdr:colOff>
      <xdr:row>20</xdr:row>
      <xdr:rowOff>315658</xdr:rowOff>
    </xdr:from>
    <xdr:to>
      <xdr:col>5</xdr:col>
      <xdr:colOff>113624</xdr:colOff>
      <xdr:row>20</xdr:row>
      <xdr:rowOff>315658</xdr:rowOff>
    </xdr:to>
    <xdr:cxnSp macro="">
      <xdr:nvCxnSpPr>
        <xdr:cNvPr id="295" name="Straight Connector 20" descr="Decorative line">
          <a:extLst>
            <a:ext uri="{FF2B5EF4-FFF2-40B4-BE49-F238E27FC236}">
              <a16:creationId xmlns:a16="http://schemas.microsoft.com/office/drawing/2014/main" id="{97CDED72-D7B4-4617-B2A1-8C18F7048231}"/>
            </a:ext>
          </a:extLst>
        </xdr:cNvPr>
        <xdr:cNvCxnSpPr>
          <a:cxnSpLocks/>
        </xdr:cNvCxnSpPr>
      </xdr:nvCxnSpPr>
      <xdr:spPr>
        <a:xfrm>
          <a:off x="528955" y="8304752"/>
          <a:ext cx="3870919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551882</xdr:colOff>
      <xdr:row>7</xdr:row>
      <xdr:rowOff>136193</xdr:rowOff>
    </xdr:from>
    <xdr:to>
      <xdr:col>4</xdr:col>
      <xdr:colOff>827015</xdr:colOff>
      <xdr:row>8</xdr:row>
      <xdr:rowOff>197642</xdr:rowOff>
    </xdr:to>
    <xdr:sp macro="" textlink="">
      <xdr:nvSpPr>
        <xdr:cNvPr id="296" name="Step" descr="Here’s how to use the fill handle in Excel:">
          <a:extLst>
            <a:ext uri="{FF2B5EF4-FFF2-40B4-BE49-F238E27FC236}">
              <a16:creationId xmlns:a16="http://schemas.microsoft.com/office/drawing/2014/main" id="{DD807327-214F-4457-B878-6CA256DBB197}"/>
            </a:ext>
          </a:extLst>
        </xdr:cNvPr>
        <xdr:cNvSpPr txBox="1"/>
      </xdr:nvSpPr>
      <xdr:spPr>
        <a:xfrm>
          <a:off x="551882" y="2526968"/>
          <a:ext cx="3732708" cy="480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Sigue las instrucciones para armar tu estimado de costo logístico paso a paso. ¡Es muy sencillo</a:t>
          </a: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!</a:t>
          </a:r>
        </a:p>
      </xdr:txBody>
    </xdr:sp>
    <xdr:clientData/>
  </xdr:twoCellAnchor>
  <xdr:twoCellAnchor>
    <xdr:from>
      <xdr:col>0</xdr:col>
      <xdr:colOff>597123</xdr:colOff>
      <xdr:row>9</xdr:row>
      <xdr:rowOff>312404</xdr:rowOff>
    </xdr:from>
    <xdr:to>
      <xdr:col>5</xdr:col>
      <xdr:colOff>190498</xdr:colOff>
      <xdr:row>11</xdr:row>
      <xdr:rowOff>47624</xdr:rowOff>
    </xdr:to>
    <xdr:sp macro="" textlink="">
      <xdr:nvSpPr>
        <xdr:cNvPr id="297" name="Step" descr="Here’s how to use the fill handle in Excel:">
          <a:extLst>
            <a:ext uri="{FF2B5EF4-FFF2-40B4-BE49-F238E27FC236}">
              <a16:creationId xmlns:a16="http://schemas.microsoft.com/office/drawing/2014/main" id="{B9E830A8-82F3-4F6A-86A7-3057BDD644D1}"/>
            </a:ext>
          </a:extLst>
        </xdr:cNvPr>
        <xdr:cNvSpPr txBox="1"/>
      </xdr:nvSpPr>
      <xdr:spPr>
        <a:xfrm>
          <a:off x="597123" y="3541379"/>
          <a:ext cx="3879625" cy="573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Agrega la informacion a cada una de las siguientes secciones para completar tu formulario y obtener tu estimado de costo.</a:t>
          </a:r>
        </a:p>
      </xdr:txBody>
    </xdr:sp>
    <xdr:clientData/>
  </xdr:twoCellAnchor>
  <xdr:twoCellAnchor>
    <xdr:from>
      <xdr:col>0</xdr:col>
      <xdr:colOff>535781</xdr:colOff>
      <xdr:row>9</xdr:row>
      <xdr:rowOff>47623</xdr:rowOff>
    </xdr:from>
    <xdr:to>
      <xdr:col>5</xdr:col>
      <xdr:colOff>120450</xdr:colOff>
      <xdr:row>9</xdr:row>
      <xdr:rowOff>47623</xdr:rowOff>
    </xdr:to>
    <xdr:cxnSp macro="">
      <xdr:nvCxnSpPr>
        <xdr:cNvPr id="298" name="Straight Connector 20" descr="Decorative line">
          <a:extLst>
            <a:ext uri="{FF2B5EF4-FFF2-40B4-BE49-F238E27FC236}">
              <a16:creationId xmlns:a16="http://schemas.microsoft.com/office/drawing/2014/main" id="{0F50BDC8-4625-4780-9A39-33F9FFFC3545}"/>
            </a:ext>
          </a:extLst>
        </xdr:cNvPr>
        <xdr:cNvCxnSpPr>
          <a:cxnSpLocks/>
        </xdr:cNvCxnSpPr>
      </xdr:nvCxnSpPr>
      <xdr:spPr>
        <a:xfrm>
          <a:off x="535781" y="3276598"/>
          <a:ext cx="3870919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331904</xdr:colOff>
      <xdr:row>11</xdr:row>
      <xdr:rowOff>176878</xdr:rowOff>
    </xdr:from>
    <xdr:to>
      <xdr:col>4</xdr:col>
      <xdr:colOff>468497</xdr:colOff>
      <xdr:row>12</xdr:row>
      <xdr:rowOff>184552</xdr:rowOff>
    </xdr:to>
    <xdr:sp macro="" textlink="">
      <xdr:nvSpPr>
        <xdr:cNvPr id="299" name="Step" descr="Click the cell with the number 100">
          <a:extLst>
            <a:ext uri="{FF2B5EF4-FFF2-40B4-BE49-F238E27FC236}">
              <a16:creationId xmlns:a16="http://schemas.microsoft.com/office/drawing/2014/main" id="{5FDCAE81-EAB6-472A-A373-52282A900A48}"/>
            </a:ext>
          </a:extLst>
        </xdr:cNvPr>
        <xdr:cNvSpPr txBox="1"/>
      </xdr:nvSpPr>
      <xdr:spPr>
        <a:xfrm>
          <a:off x="939123" y="4415503"/>
          <a:ext cx="2982187" cy="424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SECCIONES:</a:t>
          </a:r>
        </a:p>
      </xdr:txBody>
    </xdr:sp>
    <xdr:clientData/>
  </xdr:twoCellAnchor>
  <xdr:twoCellAnchor>
    <xdr:from>
      <xdr:col>7</xdr:col>
      <xdr:colOff>56425</xdr:colOff>
      <xdr:row>16</xdr:row>
      <xdr:rowOff>50429</xdr:rowOff>
    </xdr:from>
    <xdr:to>
      <xdr:col>7</xdr:col>
      <xdr:colOff>437425</xdr:colOff>
      <xdr:row>16</xdr:row>
      <xdr:rowOff>379852</xdr:rowOff>
    </xdr:to>
    <xdr:sp macro="" textlink="">
      <xdr:nvSpPr>
        <xdr:cNvPr id="304" name="Oval 26" descr="2">
          <a:extLst>
            <a:ext uri="{FF2B5EF4-FFF2-40B4-BE49-F238E27FC236}">
              <a16:creationId xmlns:a16="http://schemas.microsoft.com/office/drawing/2014/main" id="{3236FDDA-E86F-44BE-81DC-FA18CFA6F7DE}"/>
            </a:ext>
          </a:extLst>
        </xdr:cNvPr>
        <xdr:cNvSpPr/>
      </xdr:nvSpPr>
      <xdr:spPr>
        <a:xfrm>
          <a:off x="5842863" y="6372648"/>
          <a:ext cx="381000" cy="329423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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56425</xdr:colOff>
      <xdr:row>17</xdr:row>
      <xdr:rowOff>258157</xdr:rowOff>
    </xdr:from>
    <xdr:to>
      <xdr:col>7</xdr:col>
      <xdr:colOff>437425</xdr:colOff>
      <xdr:row>18</xdr:row>
      <xdr:rowOff>170861</xdr:rowOff>
    </xdr:to>
    <xdr:sp macro="" textlink="">
      <xdr:nvSpPr>
        <xdr:cNvPr id="305" name="Oval 26" descr="2">
          <a:extLst>
            <a:ext uri="{FF2B5EF4-FFF2-40B4-BE49-F238E27FC236}">
              <a16:creationId xmlns:a16="http://schemas.microsoft.com/office/drawing/2014/main" id="{662E311D-B823-421A-8E6F-6E38D875FCFF}"/>
            </a:ext>
          </a:extLst>
        </xdr:cNvPr>
        <xdr:cNvSpPr/>
      </xdr:nvSpPr>
      <xdr:spPr>
        <a:xfrm>
          <a:off x="5842863" y="6997095"/>
          <a:ext cx="381000" cy="329422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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56425</xdr:colOff>
      <xdr:row>14</xdr:row>
      <xdr:rowOff>262648</xdr:rowOff>
    </xdr:from>
    <xdr:to>
      <xdr:col>7</xdr:col>
      <xdr:colOff>437425</xdr:colOff>
      <xdr:row>15</xdr:row>
      <xdr:rowOff>175353</xdr:rowOff>
    </xdr:to>
    <xdr:sp macro="" textlink="">
      <xdr:nvSpPr>
        <xdr:cNvPr id="319" name="Oval 26" descr="2">
          <a:extLst>
            <a:ext uri="{FF2B5EF4-FFF2-40B4-BE49-F238E27FC236}">
              <a16:creationId xmlns:a16="http://schemas.microsoft.com/office/drawing/2014/main" id="{208D504E-5F25-4497-A960-64806B99AE64}"/>
            </a:ext>
          </a:extLst>
        </xdr:cNvPr>
        <xdr:cNvSpPr/>
      </xdr:nvSpPr>
      <xdr:spPr>
        <a:xfrm>
          <a:off x="5842863" y="5751429"/>
          <a:ext cx="381000" cy="329424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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56425</xdr:colOff>
      <xdr:row>13</xdr:row>
      <xdr:rowOff>67167</xdr:rowOff>
    </xdr:from>
    <xdr:to>
      <xdr:col>7</xdr:col>
      <xdr:colOff>437425</xdr:colOff>
      <xdr:row>13</xdr:row>
      <xdr:rowOff>396589</xdr:rowOff>
    </xdr:to>
    <xdr:sp macro="" textlink="">
      <xdr:nvSpPr>
        <xdr:cNvPr id="96" name="Oval 26" descr="2">
          <a:extLst>
            <a:ext uri="{FF2B5EF4-FFF2-40B4-BE49-F238E27FC236}">
              <a16:creationId xmlns:a16="http://schemas.microsoft.com/office/drawing/2014/main" id="{2130E990-490E-47BF-AF35-2AA863A79580}"/>
            </a:ext>
          </a:extLst>
        </xdr:cNvPr>
        <xdr:cNvSpPr/>
      </xdr:nvSpPr>
      <xdr:spPr>
        <a:xfrm>
          <a:off x="5842863" y="5139230"/>
          <a:ext cx="381000" cy="329422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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571501</xdr:colOff>
      <xdr:row>16</xdr:row>
      <xdr:rowOff>218264</xdr:rowOff>
    </xdr:from>
    <xdr:to>
      <xdr:col>1</xdr:col>
      <xdr:colOff>345282</xdr:colOff>
      <xdr:row>17</xdr:row>
      <xdr:rowOff>130968</xdr:rowOff>
    </xdr:to>
    <xdr:sp macro="" textlink="">
      <xdr:nvSpPr>
        <xdr:cNvPr id="102" name="Oval 26" descr="2">
          <a:extLst>
            <a:ext uri="{FF2B5EF4-FFF2-40B4-BE49-F238E27FC236}">
              <a16:creationId xmlns:a16="http://schemas.microsoft.com/office/drawing/2014/main" id="{53F32C63-A4A1-4F0B-BB33-9425654F0710}"/>
            </a:ext>
          </a:extLst>
        </xdr:cNvPr>
        <xdr:cNvSpPr/>
      </xdr:nvSpPr>
      <xdr:spPr>
        <a:xfrm>
          <a:off x="571501" y="6380939"/>
          <a:ext cx="383381" cy="331804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50">
              <a:latin typeface="Segoe UI Semibold" panose="020B0702040204020203" pitchFamily="34" charset="0"/>
              <a:cs typeface="Segoe UI Semibold" panose="020B0702040204020203" pitchFamily="34" charset="0"/>
            </a:rPr>
            <a:t>IV</a:t>
          </a:r>
        </a:p>
      </xdr:txBody>
    </xdr:sp>
    <xdr:clientData/>
  </xdr:twoCellAnchor>
  <xdr:twoCellAnchor>
    <xdr:from>
      <xdr:col>0</xdr:col>
      <xdr:colOff>569120</xdr:colOff>
      <xdr:row>17</xdr:row>
      <xdr:rowOff>358758</xdr:rowOff>
    </xdr:from>
    <xdr:to>
      <xdr:col>1</xdr:col>
      <xdr:colOff>342901</xdr:colOff>
      <xdr:row>18</xdr:row>
      <xdr:rowOff>271462</xdr:rowOff>
    </xdr:to>
    <xdr:sp macro="" textlink="">
      <xdr:nvSpPr>
        <xdr:cNvPr id="103" name="Oval 26" descr="2">
          <a:extLst>
            <a:ext uri="{FF2B5EF4-FFF2-40B4-BE49-F238E27FC236}">
              <a16:creationId xmlns:a16="http://schemas.microsoft.com/office/drawing/2014/main" id="{A5FB7941-9014-4345-AEA8-EC6CB38AF3C2}"/>
            </a:ext>
          </a:extLst>
        </xdr:cNvPr>
        <xdr:cNvSpPr/>
      </xdr:nvSpPr>
      <xdr:spPr>
        <a:xfrm>
          <a:off x="569120" y="6940533"/>
          <a:ext cx="383381" cy="331804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V</a:t>
          </a:r>
        </a:p>
      </xdr:txBody>
    </xdr:sp>
    <xdr:clientData/>
  </xdr:twoCellAnchor>
  <xdr:twoCellAnchor>
    <xdr:from>
      <xdr:col>0</xdr:col>
      <xdr:colOff>566738</xdr:colOff>
      <xdr:row>15</xdr:row>
      <xdr:rowOff>58720</xdr:rowOff>
    </xdr:from>
    <xdr:to>
      <xdr:col>1</xdr:col>
      <xdr:colOff>340519</xdr:colOff>
      <xdr:row>15</xdr:row>
      <xdr:rowOff>388143</xdr:rowOff>
    </xdr:to>
    <xdr:sp macro="" textlink="">
      <xdr:nvSpPr>
        <xdr:cNvPr id="104" name="Oval 26" descr="2">
          <a:extLst>
            <a:ext uri="{FF2B5EF4-FFF2-40B4-BE49-F238E27FC236}">
              <a16:creationId xmlns:a16="http://schemas.microsoft.com/office/drawing/2014/main" id="{FDA4B6A5-0FC5-4EC3-BF1D-EA6A15AE716E}"/>
            </a:ext>
          </a:extLst>
        </xdr:cNvPr>
        <xdr:cNvSpPr/>
      </xdr:nvSpPr>
      <xdr:spPr>
        <a:xfrm>
          <a:off x="566738" y="5802295"/>
          <a:ext cx="383381" cy="329423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III</a:t>
          </a:r>
        </a:p>
      </xdr:txBody>
    </xdr:sp>
    <xdr:clientData/>
  </xdr:twoCellAnchor>
  <xdr:twoCellAnchor>
    <xdr:from>
      <xdr:col>0</xdr:col>
      <xdr:colOff>576264</xdr:colOff>
      <xdr:row>13</xdr:row>
      <xdr:rowOff>342088</xdr:rowOff>
    </xdr:from>
    <xdr:to>
      <xdr:col>1</xdr:col>
      <xdr:colOff>350045</xdr:colOff>
      <xdr:row>14</xdr:row>
      <xdr:rowOff>254792</xdr:rowOff>
    </xdr:to>
    <xdr:sp macro="" textlink="">
      <xdr:nvSpPr>
        <xdr:cNvPr id="105" name="Oval 26" descr="2">
          <a:extLst>
            <a:ext uri="{FF2B5EF4-FFF2-40B4-BE49-F238E27FC236}">
              <a16:creationId xmlns:a16="http://schemas.microsoft.com/office/drawing/2014/main" id="{2AB5E5C3-751C-4C50-9A91-C3C39C83AD17}"/>
            </a:ext>
          </a:extLst>
        </xdr:cNvPr>
        <xdr:cNvSpPr/>
      </xdr:nvSpPr>
      <xdr:spPr>
        <a:xfrm>
          <a:off x="576264" y="5247463"/>
          <a:ext cx="383381" cy="331804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II</a:t>
          </a:r>
        </a:p>
      </xdr:txBody>
    </xdr:sp>
    <xdr:clientData/>
  </xdr:twoCellAnchor>
  <xdr:twoCellAnchor>
    <xdr:from>
      <xdr:col>0</xdr:col>
      <xdr:colOff>573883</xdr:colOff>
      <xdr:row>12</xdr:row>
      <xdr:rowOff>208738</xdr:rowOff>
    </xdr:from>
    <xdr:to>
      <xdr:col>1</xdr:col>
      <xdr:colOff>347664</xdr:colOff>
      <xdr:row>13</xdr:row>
      <xdr:rowOff>121442</xdr:rowOff>
    </xdr:to>
    <xdr:sp macro="" textlink="">
      <xdr:nvSpPr>
        <xdr:cNvPr id="106" name="Oval 26" descr="2">
          <a:extLst>
            <a:ext uri="{FF2B5EF4-FFF2-40B4-BE49-F238E27FC236}">
              <a16:creationId xmlns:a16="http://schemas.microsoft.com/office/drawing/2014/main" id="{21804752-9ED3-4BB5-804E-A655E36F0FF4}"/>
            </a:ext>
          </a:extLst>
        </xdr:cNvPr>
        <xdr:cNvSpPr/>
      </xdr:nvSpPr>
      <xdr:spPr>
        <a:xfrm>
          <a:off x="573883" y="4695013"/>
          <a:ext cx="383381" cy="331804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I</a:t>
          </a:r>
        </a:p>
      </xdr:txBody>
    </xdr:sp>
    <xdr:clientData/>
  </xdr:twoCellAnchor>
  <xdr:twoCellAnchor>
    <xdr:from>
      <xdr:col>7</xdr:col>
      <xdr:colOff>261936</xdr:colOff>
      <xdr:row>7</xdr:row>
      <xdr:rowOff>226219</xdr:rowOff>
    </xdr:from>
    <xdr:to>
      <xdr:col>7</xdr:col>
      <xdr:colOff>642936</xdr:colOff>
      <xdr:row>8</xdr:row>
      <xdr:rowOff>138923</xdr:rowOff>
    </xdr:to>
    <xdr:sp macro="" textlink="">
      <xdr:nvSpPr>
        <xdr:cNvPr id="107" name="Oval 26" descr="2">
          <a:extLst>
            <a:ext uri="{FF2B5EF4-FFF2-40B4-BE49-F238E27FC236}">
              <a16:creationId xmlns:a16="http://schemas.microsoft.com/office/drawing/2014/main" id="{5FBBE50F-0A67-4A54-8A66-4B1625C7543B}"/>
            </a:ext>
          </a:extLst>
        </xdr:cNvPr>
        <xdr:cNvSpPr/>
      </xdr:nvSpPr>
      <xdr:spPr>
        <a:xfrm>
          <a:off x="6053136" y="2616994"/>
          <a:ext cx="381000" cy="331804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kern="12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ebdings" panose="05030102010509060703" pitchFamily="18" charset="2"/>
            </a:rPr>
            <a:t>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271461</xdr:colOff>
      <xdr:row>8</xdr:row>
      <xdr:rowOff>390525</xdr:rowOff>
    </xdr:from>
    <xdr:to>
      <xdr:col>7</xdr:col>
      <xdr:colOff>652461</xdr:colOff>
      <xdr:row>9</xdr:row>
      <xdr:rowOff>303229</xdr:rowOff>
    </xdr:to>
    <xdr:sp macro="" textlink="">
      <xdr:nvSpPr>
        <xdr:cNvPr id="108" name="Oval 26" descr="2">
          <a:extLst>
            <a:ext uri="{FF2B5EF4-FFF2-40B4-BE49-F238E27FC236}">
              <a16:creationId xmlns:a16="http://schemas.microsoft.com/office/drawing/2014/main" id="{EEE784E0-2612-4D0D-ADF0-72AAEEB3962A}"/>
            </a:ext>
          </a:extLst>
        </xdr:cNvPr>
        <xdr:cNvSpPr/>
      </xdr:nvSpPr>
      <xdr:spPr>
        <a:xfrm>
          <a:off x="6062661" y="3200400"/>
          <a:ext cx="381000" cy="331804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kern="12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ebdings" panose="05030102010509060703" pitchFamily="18" charset="2"/>
            </a:rPr>
            <a:t>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280986</xdr:colOff>
      <xdr:row>10</xdr:row>
      <xdr:rowOff>150018</xdr:rowOff>
    </xdr:from>
    <xdr:to>
      <xdr:col>7</xdr:col>
      <xdr:colOff>661986</xdr:colOff>
      <xdr:row>11</xdr:row>
      <xdr:rowOff>62723</xdr:rowOff>
    </xdr:to>
    <xdr:sp macro="" textlink="">
      <xdr:nvSpPr>
        <xdr:cNvPr id="109" name="Oval 26" descr="2">
          <a:extLst>
            <a:ext uri="{FF2B5EF4-FFF2-40B4-BE49-F238E27FC236}">
              <a16:creationId xmlns:a16="http://schemas.microsoft.com/office/drawing/2014/main" id="{5AB29045-C6F8-4017-84D9-C3445C57D5CC}"/>
            </a:ext>
          </a:extLst>
        </xdr:cNvPr>
        <xdr:cNvSpPr/>
      </xdr:nvSpPr>
      <xdr:spPr>
        <a:xfrm>
          <a:off x="6072186" y="3798093"/>
          <a:ext cx="381000" cy="331805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kern="12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ebdings" panose="05030102010509060703" pitchFamily="18" charset="2"/>
            </a:rPr>
            <a:t>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738187</xdr:colOff>
      <xdr:row>10</xdr:row>
      <xdr:rowOff>71437</xdr:rowOff>
    </xdr:from>
    <xdr:to>
      <xdr:col>10</xdr:col>
      <xdr:colOff>780434</xdr:colOff>
      <xdr:row>11</xdr:row>
      <xdr:rowOff>141073</xdr:rowOff>
    </xdr:to>
    <xdr:sp macro="" textlink="">
      <xdr:nvSpPr>
        <xdr:cNvPr id="110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1F18DCA2-D0E3-4E49-B868-F7748D5F801C}"/>
            </a:ext>
          </a:extLst>
        </xdr:cNvPr>
        <xdr:cNvSpPr txBox="1"/>
      </xdr:nvSpPr>
      <xdr:spPr>
        <a:xfrm>
          <a:off x="6529387" y="3719512"/>
          <a:ext cx="2871172" cy="488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Reune la informacion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de tu mercancía a cotizar</a:t>
          </a: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 Costo, Peso y Cantidad de bultos.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738187</xdr:colOff>
      <xdr:row>8</xdr:row>
      <xdr:rowOff>321469</xdr:rowOff>
    </xdr:from>
    <xdr:to>
      <xdr:col>10</xdr:col>
      <xdr:colOff>780434</xdr:colOff>
      <xdr:row>9</xdr:row>
      <xdr:rowOff>391104</xdr:rowOff>
    </xdr:to>
    <xdr:sp macro="" textlink="">
      <xdr:nvSpPr>
        <xdr:cNvPr id="111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EDBBD501-8637-4E3C-9D34-B44625722CE8}"/>
            </a:ext>
          </a:extLst>
        </xdr:cNvPr>
        <xdr:cNvSpPr txBox="1"/>
      </xdr:nvSpPr>
      <xdr:spPr>
        <a:xfrm>
          <a:off x="6529387" y="3131344"/>
          <a:ext cx="2871172" cy="488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Revisa que la moneda cotizada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en la mercancía sea USD.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750092</xdr:colOff>
      <xdr:row>7</xdr:row>
      <xdr:rowOff>166688</xdr:rowOff>
    </xdr:from>
    <xdr:to>
      <xdr:col>10</xdr:col>
      <xdr:colOff>792339</xdr:colOff>
      <xdr:row>8</xdr:row>
      <xdr:rowOff>236323</xdr:rowOff>
    </xdr:to>
    <xdr:sp macro="" textlink="">
      <xdr:nvSpPr>
        <xdr:cNvPr id="112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E11AD757-EEE3-4F75-8DA4-A9FA94EC445C}"/>
            </a:ext>
          </a:extLst>
        </xdr:cNvPr>
        <xdr:cNvSpPr txBox="1"/>
      </xdr:nvSpPr>
      <xdr:spPr>
        <a:xfrm>
          <a:off x="6541292" y="2557463"/>
          <a:ext cx="2871172" cy="488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Aségurate que los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campos </a:t>
          </a: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no contengan datos anteriores antes de comenzar.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26504</xdr:colOff>
      <xdr:row>12</xdr:row>
      <xdr:rowOff>134705</xdr:rowOff>
    </xdr:from>
    <xdr:to>
      <xdr:col>11</xdr:col>
      <xdr:colOff>218392</xdr:colOff>
      <xdr:row>12</xdr:row>
      <xdr:rowOff>134705</xdr:rowOff>
    </xdr:to>
    <xdr:cxnSp macro="">
      <xdr:nvCxnSpPr>
        <xdr:cNvPr id="113" name="Straight Connector 20" descr="Decorative line">
          <a:extLst>
            <a:ext uri="{FF2B5EF4-FFF2-40B4-BE49-F238E27FC236}">
              <a16:creationId xmlns:a16="http://schemas.microsoft.com/office/drawing/2014/main" id="{C1BAA086-DB2E-4075-AB88-C77E72FCD9C4}"/>
            </a:ext>
          </a:extLst>
        </xdr:cNvPr>
        <xdr:cNvCxnSpPr>
          <a:cxnSpLocks/>
        </xdr:cNvCxnSpPr>
      </xdr:nvCxnSpPr>
      <xdr:spPr>
        <a:xfrm>
          <a:off x="5817704" y="4620980"/>
          <a:ext cx="3878063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12218</xdr:colOff>
      <xdr:row>20</xdr:row>
      <xdr:rowOff>322802</xdr:rowOff>
    </xdr:from>
    <xdr:to>
      <xdr:col>11</xdr:col>
      <xdr:colOff>204106</xdr:colOff>
      <xdr:row>20</xdr:row>
      <xdr:rowOff>322802</xdr:rowOff>
    </xdr:to>
    <xdr:cxnSp macro="">
      <xdr:nvCxnSpPr>
        <xdr:cNvPr id="114" name="Straight Connector 20" descr="Decorative line">
          <a:extLst>
            <a:ext uri="{FF2B5EF4-FFF2-40B4-BE49-F238E27FC236}">
              <a16:creationId xmlns:a16="http://schemas.microsoft.com/office/drawing/2014/main" id="{C2A59E6D-8342-4EF7-BC48-199FB37FF0F2}"/>
            </a:ext>
          </a:extLst>
        </xdr:cNvPr>
        <xdr:cNvCxnSpPr>
          <a:cxnSpLocks/>
        </xdr:cNvCxnSpPr>
      </xdr:nvCxnSpPr>
      <xdr:spPr>
        <a:xfrm>
          <a:off x="5798656" y="8311896"/>
          <a:ext cx="3870919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335075</xdr:colOff>
      <xdr:row>1</xdr:row>
      <xdr:rowOff>35718</xdr:rowOff>
    </xdr:from>
    <xdr:to>
      <xdr:col>8</xdr:col>
      <xdr:colOff>892968</xdr:colOff>
      <xdr:row>3</xdr:row>
      <xdr:rowOff>247310</xdr:rowOff>
    </xdr:to>
    <xdr:sp macro="" textlink="">
      <xdr:nvSpPr>
        <xdr:cNvPr id="121" name="Step" descr="More information on the web">
          <a:extLst>
            <a:ext uri="{FF2B5EF4-FFF2-40B4-BE49-F238E27FC236}">
              <a16:creationId xmlns:a16="http://schemas.microsoft.com/office/drawing/2014/main" id="{970FC322-7152-4420-B5AB-CC11C24DD95B}"/>
            </a:ext>
          </a:extLst>
        </xdr:cNvPr>
        <xdr:cNvSpPr txBox="1"/>
      </xdr:nvSpPr>
      <xdr:spPr>
        <a:xfrm>
          <a:off x="2930638" y="238124"/>
          <a:ext cx="4582205" cy="711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1" i="0" u="none" strike="noStrike" kern="0" cap="none" spc="0" normalizeH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  <a:latin typeface="Bosch Sans Regular" panose="02020500000000000000" pitchFamily="18" charset="0"/>
              <a:ea typeface="Segoe UI" pitchFamily="34" charset="0"/>
              <a:cs typeface="Segoe UI Light" panose="020B0502040204020203" pitchFamily="34" charset="0"/>
            </a:rPr>
            <a:t>COSTO LOGISTICO</a:t>
          </a:r>
          <a:endParaRPr lang="en-US" sz="2800" b="1" cap="none" spc="0">
            <a:ln w="0"/>
            <a:solidFill>
              <a:srgbClr val="00206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Bosch Sans Regular" panose="02020500000000000000" pitchFamily="18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263525</xdr:colOff>
      <xdr:row>87</xdr:row>
      <xdr:rowOff>152400</xdr:rowOff>
    </xdr:from>
    <xdr:to>
      <xdr:col>5</xdr:col>
      <xdr:colOff>234950</xdr:colOff>
      <xdr:row>87</xdr:row>
      <xdr:rowOff>152400</xdr:rowOff>
    </xdr:to>
    <xdr:cxnSp macro="">
      <xdr:nvCxnSpPr>
        <xdr:cNvPr id="2" name="Straight Connector 51" descr="Decorative line">
          <a:extLst>
            <a:ext uri="{FF2B5EF4-FFF2-40B4-BE49-F238E27FC236}">
              <a16:creationId xmlns:a16="http://schemas.microsoft.com/office/drawing/2014/main" id="{12AC9BAD-4B7D-442C-9459-A44B340AA23A}"/>
            </a:ext>
          </a:extLst>
        </xdr:cNvPr>
        <xdr:cNvCxnSpPr>
          <a:cxnSpLocks/>
        </xdr:cNvCxnSpPr>
      </xdr:nvCxnSpPr>
      <xdr:spPr>
        <a:xfrm>
          <a:off x="873125" y="23622000"/>
          <a:ext cx="3654425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19</xdr:row>
      <xdr:rowOff>57168</xdr:rowOff>
    </xdr:from>
    <xdr:to>
      <xdr:col>1</xdr:col>
      <xdr:colOff>345281</xdr:colOff>
      <xdr:row>19</xdr:row>
      <xdr:rowOff>386590</xdr:rowOff>
    </xdr:to>
    <xdr:sp macro="" textlink="">
      <xdr:nvSpPr>
        <xdr:cNvPr id="10" name="Oval 26" descr="2">
          <a:extLst>
            <a:ext uri="{FF2B5EF4-FFF2-40B4-BE49-F238E27FC236}">
              <a16:creationId xmlns:a16="http://schemas.microsoft.com/office/drawing/2014/main" id="{C3227360-C235-42F7-8B53-737F8135F005}"/>
            </a:ext>
          </a:extLst>
        </xdr:cNvPr>
        <xdr:cNvSpPr/>
      </xdr:nvSpPr>
      <xdr:spPr>
        <a:xfrm>
          <a:off x="571500" y="7629543"/>
          <a:ext cx="381000" cy="329422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>
              <a:latin typeface="Segoe UI Semibold" panose="020B0702040204020203" pitchFamily="34" charset="0"/>
              <a:cs typeface="Segoe UI Semibold" panose="020B0702040204020203" pitchFamily="34" charset="0"/>
            </a:rPr>
            <a:t>VI</a:t>
          </a:r>
        </a:p>
      </xdr:txBody>
    </xdr:sp>
    <xdr:clientData/>
  </xdr:twoCellAnchor>
  <xdr:twoCellAnchor>
    <xdr:from>
      <xdr:col>7</xdr:col>
      <xdr:colOff>59532</xdr:colOff>
      <xdr:row>19</xdr:row>
      <xdr:rowOff>45259</xdr:rowOff>
    </xdr:from>
    <xdr:to>
      <xdr:col>7</xdr:col>
      <xdr:colOff>440532</xdr:colOff>
      <xdr:row>19</xdr:row>
      <xdr:rowOff>374681</xdr:rowOff>
    </xdr:to>
    <xdr:sp macro="" textlink="">
      <xdr:nvSpPr>
        <xdr:cNvPr id="233" name="Oval 26" descr="2">
          <a:extLst>
            <a:ext uri="{FF2B5EF4-FFF2-40B4-BE49-F238E27FC236}">
              <a16:creationId xmlns:a16="http://schemas.microsoft.com/office/drawing/2014/main" id="{3F99167C-1E92-4C8D-84D8-BA4978913B5A}"/>
            </a:ext>
          </a:extLst>
        </xdr:cNvPr>
        <xdr:cNvSpPr/>
      </xdr:nvSpPr>
      <xdr:spPr>
        <a:xfrm>
          <a:off x="5845970" y="7617634"/>
          <a:ext cx="381000" cy="329422"/>
        </a:xfrm>
        <a:prstGeom prst="octagon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latin typeface="Segoe UI Semibold" panose="020B0702040204020203" pitchFamily="34" charset="0"/>
              <a:cs typeface="Segoe UI Semibold" panose="020B0702040204020203" pitchFamily="34" charset="0"/>
              <a:sym typeface="Webdings" panose="05030102010509060703" pitchFamily="18" charset="2"/>
            </a:rPr>
            <a:t></a:t>
          </a:r>
          <a:endParaRPr lang="en-US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561178</xdr:colOff>
      <xdr:row>12</xdr:row>
      <xdr:rowOff>309565</xdr:rowOff>
    </xdr:from>
    <xdr:to>
      <xdr:col>11</xdr:col>
      <xdr:colOff>288922</xdr:colOff>
      <xdr:row>14</xdr:row>
      <xdr:rowOff>131766</xdr:rowOff>
    </xdr:to>
    <xdr:sp macro="" textlink="">
      <xdr:nvSpPr>
        <xdr:cNvPr id="234" name="Step" descr="Click the cell with the number 100">
          <a:extLst>
            <a:ext uri="{FF2B5EF4-FFF2-40B4-BE49-F238E27FC236}">
              <a16:creationId xmlns:a16="http://schemas.microsoft.com/office/drawing/2014/main" id="{6B39211A-46A4-4C4F-9AC3-5DD6AB25DF95}"/>
            </a:ext>
          </a:extLst>
        </xdr:cNvPr>
        <xdr:cNvSpPr txBox="1"/>
      </xdr:nvSpPr>
      <xdr:spPr>
        <a:xfrm>
          <a:off x="6347616" y="4964909"/>
          <a:ext cx="3406775" cy="6556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Para agregar la informacion en cada seccion, selecciona un dato de la lista despegabl</a:t>
          </a:r>
          <a:r>
            <a:rPr lang="en-US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 o </a:t>
          </a:r>
          <a:r>
            <a:rPr lang="en-US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ingresa directamente el dato. 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577053</xdr:colOff>
      <xdr:row>15</xdr:row>
      <xdr:rowOff>274641</xdr:rowOff>
    </xdr:from>
    <xdr:to>
      <xdr:col>11</xdr:col>
      <xdr:colOff>266697</xdr:colOff>
      <xdr:row>17</xdr:row>
      <xdr:rowOff>177803</xdr:rowOff>
    </xdr:to>
    <xdr:sp macro="" textlink="">
      <xdr:nvSpPr>
        <xdr:cNvPr id="248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EFA013E4-16D5-4441-8D6D-51729407F823}"/>
            </a:ext>
          </a:extLst>
        </xdr:cNvPr>
        <xdr:cNvSpPr txBox="1"/>
      </xdr:nvSpPr>
      <xdr:spPr>
        <a:xfrm>
          <a:off x="6363491" y="6180141"/>
          <a:ext cx="3368675" cy="73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b="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Realiza un calculo previo de los bultos posibles que se enviaran con tu mercancía</a:t>
          </a:r>
          <a:r>
            <a:rPr lang="en-US" sz="11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 Un pallet o bulto puede medir 48, 96 o 124 pulgadas de largo. 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573878</xdr:colOff>
      <xdr:row>17</xdr:row>
      <xdr:rowOff>185740</xdr:rowOff>
    </xdr:from>
    <xdr:to>
      <xdr:col>11</xdr:col>
      <xdr:colOff>288922</xdr:colOff>
      <xdr:row>18</xdr:row>
      <xdr:rowOff>273847</xdr:rowOff>
    </xdr:to>
    <xdr:sp macro="" textlink="">
      <xdr:nvSpPr>
        <xdr:cNvPr id="250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9EB1EA92-78AA-4171-8A43-0C492088CDC8}"/>
            </a:ext>
          </a:extLst>
        </xdr:cNvPr>
        <xdr:cNvSpPr txBox="1"/>
      </xdr:nvSpPr>
      <xdr:spPr>
        <a:xfrm>
          <a:off x="6360316" y="6924678"/>
          <a:ext cx="339407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Si necesitas que tu embarque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viaje con urgencia, selecciona "</a:t>
          </a:r>
          <a:r>
            <a:rPr lang="en-US" sz="1100" u="sng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Dedicado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" en la casilla "</a:t>
          </a:r>
          <a:r>
            <a:rPr lang="en-US" sz="1100" u="sng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Peso en Libras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".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559591</xdr:colOff>
      <xdr:row>14</xdr:row>
      <xdr:rowOff>177010</xdr:rowOff>
    </xdr:from>
    <xdr:to>
      <xdr:col>11</xdr:col>
      <xdr:colOff>266697</xdr:colOff>
      <xdr:row>15</xdr:row>
      <xdr:rowOff>273053</xdr:rowOff>
    </xdr:to>
    <xdr:sp macro="" textlink="">
      <xdr:nvSpPr>
        <xdr:cNvPr id="255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08977A3B-2025-4E20-9878-3FE031D5D002}"/>
            </a:ext>
          </a:extLst>
        </xdr:cNvPr>
        <xdr:cNvSpPr txBox="1"/>
      </xdr:nvSpPr>
      <xdr:spPr>
        <a:xfrm>
          <a:off x="6346029" y="5665791"/>
          <a:ext cx="3386137" cy="5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Unicamente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deberas llenar las casillas en blanco, las casillas en azul son llenadas automaticamente.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562766</xdr:colOff>
      <xdr:row>18</xdr:row>
      <xdr:rowOff>344492</xdr:rowOff>
    </xdr:from>
    <xdr:to>
      <xdr:col>11</xdr:col>
      <xdr:colOff>277810</xdr:colOff>
      <xdr:row>20</xdr:row>
      <xdr:rowOff>23816</xdr:rowOff>
    </xdr:to>
    <xdr:sp macro="" textlink="">
      <xdr:nvSpPr>
        <xdr:cNvPr id="36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F57E805B-1789-4B4B-B261-0E3914442460}"/>
            </a:ext>
          </a:extLst>
        </xdr:cNvPr>
        <xdr:cNvSpPr txBox="1"/>
      </xdr:nvSpPr>
      <xdr:spPr>
        <a:xfrm>
          <a:off x="6349204" y="7500148"/>
          <a:ext cx="3394075" cy="5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En el caso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de proveedores de robotica, la "</a:t>
          </a:r>
          <a:r>
            <a:rPr lang="en-US" sz="1100" u="sng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Cantidad de Bultos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" se refiere a la antidad de robots a embarcar.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369090</xdr:colOff>
      <xdr:row>12</xdr:row>
      <xdr:rowOff>142872</xdr:rowOff>
    </xdr:from>
    <xdr:to>
      <xdr:col>5</xdr:col>
      <xdr:colOff>284959</xdr:colOff>
      <xdr:row>13</xdr:row>
      <xdr:rowOff>150546</xdr:rowOff>
    </xdr:to>
    <xdr:sp macro="" textlink="">
      <xdr:nvSpPr>
        <xdr:cNvPr id="49" name="Step" descr="Click the cell with the number 100">
          <a:extLst>
            <a:ext uri="{FF2B5EF4-FFF2-40B4-BE49-F238E27FC236}">
              <a16:creationId xmlns:a16="http://schemas.microsoft.com/office/drawing/2014/main" id="{203C2C61-C136-43DE-A24E-6A5464817BD1}"/>
            </a:ext>
          </a:extLst>
        </xdr:cNvPr>
        <xdr:cNvSpPr txBox="1"/>
      </xdr:nvSpPr>
      <xdr:spPr>
        <a:xfrm>
          <a:off x="976309" y="4798216"/>
          <a:ext cx="3594900" cy="424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Ingresa los datos generales de tu proyecto a cotizar. </a:t>
          </a:r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Sucursal, Proveedor, Destino, Aduana de entrada</a:t>
          </a: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</a:p>
      </xdr:txBody>
    </xdr:sp>
    <xdr:clientData/>
  </xdr:twoCellAnchor>
  <xdr:twoCellAnchor>
    <xdr:from>
      <xdr:col>1</xdr:col>
      <xdr:colOff>369089</xdr:colOff>
      <xdr:row>13</xdr:row>
      <xdr:rowOff>277948</xdr:rowOff>
    </xdr:from>
    <xdr:to>
      <xdr:col>5</xdr:col>
      <xdr:colOff>277814</xdr:colOff>
      <xdr:row>14</xdr:row>
      <xdr:rowOff>347583</xdr:rowOff>
    </xdr:to>
    <xdr:sp macro="" textlink="">
      <xdr:nvSpPr>
        <xdr:cNvPr id="56" name="Step" descr="Rest your cursor on the lower-right corner of the cell until &#10;it becomes a cross:">
          <a:extLst>
            <a:ext uri="{FF2B5EF4-FFF2-40B4-BE49-F238E27FC236}">
              <a16:creationId xmlns:a16="http://schemas.microsoft.com/office/drawing/2014/main" id="{52901D7F-77E4-4831-88E4-800A173FE051}"/>
            </a:ext>
          </a:extLst>
        </xdr:cNvPr>
        <xdr:cNvSpPr txBox="1"/>
      </xdr:nvSpPr>
      <xdr:spPr>
        <a:xfrm>
          <a:off x="976308" y="5350011"/>
          <a:ext cx="3587756" cy="486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b="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Selecciona</a:t>
          </a:r>
          <a:r>
            <a:rPr lang="en-US" sz="11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el </a:t>
          </a:r>
          <a:r>
            <a:rPr lang="en-US" sz="1100" b="1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Tipo, Cantidad y Valor de Mercancía</a:t>
          </a:r>
          <a:r>
            <a:rPr lang="en-US" sz="11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 Indica si se cuenta </a:t>
          </a:r>
          <a:r>
            <a:rPr lang="en-US" sz="1100" b="1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con Certificado de Origen</a:t>
          </a:r>
          <a:r>
            <a:rPr lang="en-US" sz="1100" b="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376233</xdr:colOff>
      <xdr:row>15</xdr:row>
      <xdr:rowOff>73781</xdr:rowOff>
    </xdr:from>
    <xdr:to>
      <xdr:col>5</xdr:col>
      <xdr:colOff>284959</xdr:colOff>
      <xdr:row>15</xdr:row>
      <xdr:rowOff>379536</xdr:rowOff>
    </xdr:to>
    <xdr:sp macro="" textlink="">
      <xdr:nvSpPr>
        <xdr:cNvPr id="57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1D6BD028-8058-4D49-8D3D-8E5FE8A8894E}"/>
            </a:ext>
          </a:extLst>
        </xdr:cNvPr>
        <xdr:cNvSpPr txBox="1"/>
      </xdr:nvSpPr>
      <xdr:spPr>
        <a:xfrm>
          <a:off x="983452" y="5979281"/>
          <a:ext cx="3587757" cy="305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Agrega los </a:t>
          </a:r>
          <a:r>
            <a:rPr lang="en-US" sz="1100" b="1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Detalles de</a:t>
          </a:r>
          <a:r>
            <a:rPr lang="en-US" sz="1100" b="1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Transporte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de la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mercancia</a:t>
          </a: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369090</xdr:colOff>
      <xdr:row>16</xdr:row>
      <xdr:rowOff>145217</xdr:rowOff>
    </xdr:from>
    <xdr:to>
      <xdr:col>5</xdr:col>
      <xdr:colOff>277816</xdr:colOff>
      <xdr:row>17</xdr:row>
      <xdr:rowOff>243676</xdr:rowOff>
    </xdr:to>
    <xdr:sp macro="" textlink="">
      <xdr:nvSpPr>
        <xdr:cNvPr id="58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A9612250-6A82-43D2-B8B9-CB7A145940AC}"/>
            </a:ext>
          </a:extLst>
        </xdr:cNvPr>
        <xdr:cNvSpPr txBox="1"/>
      </xdr:nvSpPr>
      <xdr:spPr>
        <a:xfrm>
          <a:off x="976309" y="6467436"/>
          <a:ext cx="3587757" cy="515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 los datos de tu mercancía para obtener el costo de </a:t>
          </a:r>
          <a:r>
            <a:rPr lang="en-US" sz="1100" b="1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Bodega o Recinto (Aeropuerto).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369090</xdr:colOff>
      <xdr:row>17</xdr:row>
      <xdr:rowOff>295235</xdr:rowOff>
    </xdr:from>
    <xdr:to>
      <xdr:col>5</xdr:col>
      <xdr:colOff>277816</xdr:colOff>
      <xdr:row>18</xdr:row>
      <xdr:rowOff>315114</xdr:rowOff>
    </xdr:to>
    <xdr:sp macro="" textlink="">
      <xdr:nvSpPr>
        <xdr:cNvPr id="256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860FA3B4-12DE-4B27-9222-CE8C880E6FEC}"/>
            </a:ext>
          </a:extLst>
        </xdr:cNvPr>
        <xdr:cNvSpPr txBox="1"/>
      </xdr:nvSpPr>
      <xdr:spPr>
        <a:xfrm>
          <a:off x="976309" y="7034173"/>
          <a:ext cx="3587757" cy="436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Verifica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los datos de tu mercancía para obtener el costo de </a:t>
          </a:r>
          <a:r>
            <a:rPr lang="en-US" sz="1100" b="1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Agencia Aduanal e Impuestos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371470</xdr:colOff>
      <xdr:row>18</xdr:row>
      <xdr:rowOff>410364</xdr:rowOff>
    </xdr:from>
    <xdr:to>
      <xdr:col>5</xdr:col>
      <xdr:colOff>280196</xdr:colOff>
      <xdr:row>20</xdr:row>
      <xdr:rowOff>5551</xdr:rowOff>
    </xdr:to>
    <xdr:sp macro="" textlink="">
      <xdr:nvSpPr>
        <xdr:cNvPr id="257" name="Step" descr="Click the cross and drag down three cells. Excel will automatically fill the cells with the totals: 110, 120, and 130. People call this “filling down”&#10;">
          <a:extLst>
            <a:ext uri="{FF2B5EF4-FFF2-40B4-BE49-F238E27FC236}">
              <a16:creationId xmlns:a16="http://schemas.microsoft.com/office/drawing/2014/main" id="{A0BF5453-E3A2-4076-BD20-2032286E1E56}"/>
            </a:ext>
          </a:extLst>
        </xdr:cNvPr>
        <xdr:cNvSpPr txBox="1"/>
      </xdr:nvSpPr>
      <xdr:spPr>
        <a:xfrm>
          <a:off x="978689" y="7566020"/>
          <a:ext cx="3587757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s-MX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just">
            <a:defRPr/>
          </a:pPr>
          <a:r>
            <a:rPr lang="en-US" sz="1100" kern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Obten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tu estimado de </a:t>
          </a:r>
          <a:r>
            <a:rPr lang="en-US" sz="1100" b="1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Costo Logistico </a:t>
          </a:r>
          <a:r>
            <a:rPr lang="en-US" sz="1100" kern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y agregalo al costo de tu material.</a:t>
          </a:r>
          <a:endParaRPr lang="en-US" sz="1100" b="1" kern="0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0090\Desktop\Samuel%20Balderrama%20Escapite\MATRIZ%20GASTO%20LOGISTICO\CALCULO%20DE%20COSTO%20LOGISTICO%202020%20COMERCIO%20EXTERIOR.xlsx" TargetMode="External"/><Relationship Id="rId1" Type="http://schemas.openxmlformats.org/officeDocument/2006/relationships/externalLinkPath" Target="/Users/TI0090/Desktop/Samuel%20Balderrama%20Escapite/MATRIZ%20GASTO%20LOGISTICO/CALCULO%20DE%20COSTO%20LOGISTICO%202020%20COMERCIO%20EXTER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atos tarifas"/>
      <sheetName val="IMPO FRONTERA USA"/>
      <sheetName val="IMPO AEREA"/>
      <sheetName val="INFORMACION"/>
      <sheetName val="(1) Flete Origen"/>
      <sheetName val="(2) Bodega o Terminal"/>
      <sheetName val="(3) Flete Importacion"/>
      <sheetName val="(3) Tarifario Nacional"/>
      <sheetName val="(4) Impuestos"/>
      <sheetName val="(5) Honorari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1D8A-8F10-4A43-A7C9-27A0FE914F95}">
  <sheetPr codeName="Hoja5"/>
  <dimension ref="A1:S42"/>
  <sheetViews>
    <sheetView zoomScale="85" zoomScaleNormal="85" workbookViewId="0">
      <selection activeCell="E26" sqref="E26"/>
    </sheetView>
  </sheetViews>
  <sheetFormatPr baseColWidth="10" defaultRowHeight="14.4" x14ac:dyDescent="0.3"/>
  <cols>
    <col min="1" max="1" width="13.88671875" bestFit="1" customWidth="1"/>
    <col min="2" max="2" width="41.44140625" bestFit="1" customWidth="1"/>
    <col min="3" max="3" width="43.33203125" bestFit="1" customWidth="1"/>
    <col min="4" max="4" width="52.109375" bestFit="1" customWidth="1"/>
    <col min="5" max="5" width="76.33203125" bestFit="1" customWidth="1"/>
    <col min="6" max="6" width="83.33203125" bestFit="1" customWidth="1"/>
    <col min="7" max="7" width="32.88671875" bestFit="1" customWidth="1"/>
    <col min="11" max="12" width="12.5546875" customWidth="1"/>
  </cols>
  <sheetData>
    <row r="1" spans="1:13" s="9" customFormat="1" ht="15" thickBot="1" x14ac:dyDescent="0.35">
      <c r="A1" s="429" t="s">
        <v>99</v>
      </c>
      <c r="B1" s="429"/>
      <c r="C1" s="429"/>
      <c r="F1" s="194"/>
      <c r="G1" s="195"/>
      <c r="H1" s="195"/>
      <c r="I1" s="195"/>
      <c r="J1" s="195"/>
      <c r="K1" s="194"/>
      <c r="L1" s="194"/>
      <c r="M1" s="194"/>
    </row>
    <row r="2" spans="1:13" s="9" customFormat="1" ht="15" thickBot="1" x14ac:dyDescent="0.35">
      <c r="A2" s="10" t="s">
        <v>10</v>
      </c>
      <c r="B2" s="11" t="s">
        <v>11</v>
      </c>
      <c r="C2" s="11" t="s">
        <v>12</v>
      </c>
      <c r="F2" s="194"/>
      <c r="G2" s="195"/>
      <c r="H2" s="195"/>
      <c r="I2" s="195"/>
      <c r="J2" s="195"/>
      <c r="K2" s="194"/>
      <c r="L2" s="194"/>
      <c r="M2" s="194"/>
    </row>
    <row r="3" spans="1:13" s="9" customFormat="1" x14ac:dyDescent="0.3">
      <c r="A3" s="12">
        <v>1</v>
      </c>
      <c r="B3" s="13">
        <v>0</v>
      </c>
      <c r="C3" s="12"/>
      <c r="F3" s="194"/>
      <c r="G3" s="195"/>
      <c r="H3" s="195"/>
      <c r="I3" s="195"/>
      <c r="J3" s="195"/>
      <c r="K3" s="194"/>
      <c r="L3" s="194"/>
      <c r="M3" s="194"/>
    </row>
    <row r="4" spans="1:13" s="9" customFormat="1" ht="15" thickBot="1" x14ac:dyDescent="0.35">
      <c r="D4" s="194"/>
      <c r="E4" s="194"/>
      <c r="F4" s="194"/>
      <c r="G4" s="195"/>
      <c r="H4" s="195"/>
      <c r="I4" s="195"/>
      <c r="J4" s="195"/>
      <c r="K4" s="194"/>
      <c r="L4" s="194"/>
      <c r="M4" s="194"/>
    </row>
    <row r="5" spans="1:13" s="9" customFormat="1" ht="15" thickBot="1" x14ac:dyDescent="0.35">
      <c r="A5" s="14" t="s">
        <v>15</v>
      </c>
      <c r="B5" s="18" t="s">
        <v>16</v>
      </c>
      <c r="C5" s="196" t="s">
        <v>17</v>
      </c>
      <c r="D5" s="18" t="s">
        <v>18</v>
      </c>
      <c r="E5" s="196" t="s">
        <v>19</v>
      </c>
      <c r="F5" s="18" t="s">
        <v>20</v>
      </c>
      <c r="G5" s="18" t="s">
        <v>204</v>
      </c>
      <c r="H5" s="14" t="s">
        <v>132</v>
      </c>
      <c r="I5" s="14" t="s">
        <v>133</v>
      </c>
      <c r="J5" s="14" t="s">
        <v>39</v>
      </c>
      <c r="K5" s="14" t="s">
        <v>134</v>
      </c>
      <c r="L5" s="14"/>
      <c r="M5" s="14"/>
    </row>
    <row r="6" spans="1:13" s="9" customFormat="1" x14ac:dyDescent="0.3">
      <c r="A6" s="15" t="s">
        <v>16</v>
      </c>
      <c r="B6" s="197" t="s">
        <v>109</v>
      </c>
      <c r="C6" s="198" t="s">
        <v>111</v>
      </c>
      <c r="D6" s="199" t="s">
        <v>149</v>
      </c>
      <c r="E6" s="200" t="s">
        <v>112</v>
      </c>
      <c r="F6" s="201" t="s">
        <v>384</v>
      </c>
      <c r="G6" s="200" t="s">
        <v>392</v>
      </c>
      <c r="H6" s="202"/>
      <c r="I6" s="202"/>
      <c r="J6" s="202"/>
      <c r="K6" s="202"/>
      <c r="L6" s="202"/>
      <c r="M6" s="202"/>
    </row>
    <row r="7" spans="1:13" s="9" customFormat="1" x14ac:dyDescent="0.3">
      <c r="A7" s="15" t="s">
        <v>17</v>
      </c>
      <c r="B7" s="203" t="s">
        <v>127</v>
      </c>
      <c r="C7" s="204" t="s">
        <v>109</v>
      </c>
      <c r="D7" s="205" t="s">
        <v>144</v>
      </c>
      <c r="E7" s="19" t="s">
        <v>113</v>
      </c>
      <c r="F7" s="206" t="s">
        <v>115</v>
      </c>
      <c r="G7" s="19" t="s">
        <v>107</v>
      </c>
      <c r="H7" s="207"/>
      <c r="I7" s="207"/>
      <c r="J7" s="207"/>
      <c r="K7" s="207"/>
      <c r="L7" s="207"/>
      <c r="M7" s="207"/>
    </row>
    <row r="8" spans="1:13" s="9" customFormat="1" x14ac:dyDescent="0.3">
      <c r="A8" s="15" t="s">
        <v>18</v>
      </c>
      <c r="B8" s="203" t="s">
        <v>128</v>
      </c>
      <c r="C8" s="204" t="s">
        <v>139</v>
      </c>
      <c r="D8" s="205"/>
      <c r="E8" s="19" t="s">
        <v>114</v>
      </c>
      <c r="F8" s="208"/>
      <c r="G8" s="19"/>
      <c r="H8" s="207"/>
      <c r="I8" s="207"/>
      <c r="J8" s="207"/>
      <c r="K8" s="207"/>
      <c r="L8" s="207"/>
      <c r="M8" s="207"/>
    </row>
    <row r="9" spans="1:13" s="9" customFormat="1" x14ac:dyDescent="0.3">
      <c r="A9" s="15" t="s">
        <v>19</v>
      </c>
      <c r="B9" s="203" t="s">
        <v>111</v>
      </c>
      <c r="C9" s="204" t="s">
        <v>140</v>
      </c>
      <c r="D9" s="205"/>
      <c r="E9" s="19" t="s">
        <v>115</v>
      </c>
      <c r="F9" s="208"/>
      <c r="G9" s="19"/>
      <c r="H9" s="207"/>
      <c r="I9" s="207"/>
      <c r="J9" s="207"/>
      <c r="K9" s="207"/>
      <c r="L9" s="207"/>
      <c r="M9" s="207"/>
    </row>
    <row r="10" spans="1:13" s="9" customFormat="1" x14ac:dyDescent="0.3">
      <c r="A10" s="15" t="s">
        <v>20</v>
      </c>
      <c r="B10" s="203"/>
      <c r="C10" s="204" t="s">
        <v>119</v>
      </c>
      <c r="D10" s="205"/>
      <c r="E10" s="19" t="s">
        <v>138</v>
      </c>
      <c r="F10" s="208"/>
      <c r="G10" s="19"/>
      <c r="H10" s="207"/>
      <c r="I10" s="207"/>
      <c r="J10" s="207"/>
      <c r="K10" s="207"/>
      <c r="L10" s="207"/>
      <c r="M10" s="207"/>
    </row>
    <row r="11" spans="1:13" s="9" customFormat="1" x14ac:dyDescent="0.3">
      <c r="A11" s="15" t="s">
        <v>204</v>
      </c>
      <c r="B11" s="209"/>
      <c r="C11" s="210" t="s">
        <v>110</v>
      </c>
      <c r="D11" s="211"/>
      <c r="E11" s="212"/>
      <c r="F11" s="213"/>
      <c r="G11" s="212"/>
      <c r="H11" s="207"/>
      <c r="I11" s="207"/>
      <c r="J11" s="207"/>
      <c r="K11" s="207"/>
      <c r="L11" s="207"/>
      <c r="M11" s="207"/>
    </row>
    <row r="12" spans="1:13" s="9" customFormat="1" x14ac:dyDescent="0.3">
      <c r="A12" s="15"/>
      <c r="B12" s="209"/>
      <c r="C12" s="210"/>
      <c r="D12" s="211"/>
      <c r="E12" s="212"/>
      <c r="F12" s="213"/>
      <c r="G12" s="212"/>
      <c r="H12" s="207"/>
      <c r="I12" s="207"/>
      <c r="J12" s="207"/>
      <c r="K12" s="207"/>
      <c r="L12" s="207"/>
      <c r="M12" s="207"/>
    </row>
    <row r="13" spans="1:13" s="9" customFormat="1" ht="15" thickBot="1" x14ac:dyDescent="0.35">
      <c r="B13" s="214"/>
      <c r="C13" s="215"/>
      <c r="D13" s="216"/>
      <c r="E13" s="217"/>
      <c r="F13" s="218"/>
      <c r="G13" s="217"/>
      <c r="H13" s="207"/>
      <c r="I13" s="207"/>
      <c r="J13" s="207"/>
      <c r="K13" s="207"/>
      <c r="L13" s="207"/>
      <c r="M13" s="207"/>
    </row>
    <row r="14" spans="1:13" s="9" customFormat="1" x14ac:dyDescent="0.3">
      <c r="A14" s="15"/>
      <c r="B14" s="206"/>
      <c r="C14" s="206"/>
      <c r="D14" s="206"/>
      <c r="E14" s="219"/>
      <c r="F14" s="207"/>
      <c r="G14" s="207"/>
      <c r="H14" s="207"/>
      <c r="I14" s="207"/>
      <c r="J14" s="207"/>
      <c r="K14" s="207"/>
      <c r="L14" s="207"/>
      <c r="M14" s="207"/>
    </row>
    <row r="15" spans="1:13" s="9" customFormat="1" x14ac:dyDescent="0.3">
      <c r="A15" s="15"/>
      <c r="B15" s="206"/>
      <c r="C15" s="206"/>
      <c r="D15" s="206"/>
      <c r="E15" s="219"/>
      <c r="F15" s="207"/>
      <c r="G15" s="207"/>
      <c r="H15" s="207"/>
      <c r="I15" s="207"/>
      <c r="J15" s="207"/>
      <c r="K15" s="207"/>
      <c r="L15" s="207"/>
      <c r="M15" s="207"/>
    </row>
    <row r="16" spans="1:13" s="9" customFormat="1" x14ac:dyDescent="0.3">
      <c r="A16" s="15"/>
      <c r="B16" s="206"/>
      <c r="C16" s="17"/>
      <c r="D16" s="17"/>
      <c r="E16" s="219"/>
      <c r="F16" s="17"/>
      <c r="G16" s="17"/>
      <c r="H16" s="17"/>
      <c r="I16" s="17"/>
      <c r="J16" s="17"/>
      <c r="K16" s="17"/>
      <c r="L16" s="17"/>
      <c r="M16" s="17"/>
    </row>
    <row r="17" spans="1:19" s="9" customFormat="1" x14ac:dyDescent="0.3">
      <c r="A17" s="15"/>
      <c r="B17" s="15"/>
      <c r="C17" s="17"/>
      <c r="D17" s="17"/>
      <c r="E17" s="219"/>
      <c r="F17" s="17"/>
      <c r="G17" s="17"/>
      <c r="H17" s="17"/>
      <c r="I17" s="17"/>
      <c r="J17" s="17"/>
      <c r="K17" s="17"/>
      <c r="L17" s="17"/>
      <c r="M17" s="17"/>
      <c r="N17"/>
    </row>
    <row r="18" spans="1:19" s="9" customFormat="1" x14ac:dyDescent="0.3">
      <c r="A18" s="15"/>
      <c r="B18" s="206"/>
      <c r="C18" s="17"/>
      <c r="D18" s="17"/>
      <c r="E18" s="219"/>
      <c r="F18" s="17"/>
      <c r="G18" s="17"/>
      <c r="H18" s="17"/>
      <c r="I18" s="17"/>
      <c r="J18" s="17"/>
      <c r="K18" s="17"/>
      <c r="L18" s="17"/>
      <c r="M18" s="17"/>
      <c r="N18"/>
    </row>
    <row r="19" spans="1:19" s="9" customFormat="1" x14ac:dyDescent="0.3">
      <c r="A19" s="15"/>
      <c r="B19" s="206"/>
      <c r="C19" s="17"/>
      <c r="D19" s="17"/>
      <c r="E19" s="219"/>
      <c r="F19" s="17"/>
      <c r="G19" s="17"/>
      <c r="H19" s="17"/>
      <c r="I19" s="17"/>
      <c r="J19" s="17"/>
      <c r="K19" s="17"/>
      <c r="L19" s="17"/>
      <c r="M19" s="17"/>
      <c r="N19"/>
      <c r="O19"/>
      <c r="S19"/>
    </row>
    <row r="20" spans="1:19" s="9" customFormat="1" x14ac:dyDescent="0.3">
      <c r="A20" s="15"/>
      <c r="B20" s="16"/>
      <c r="C20" s="15"/>
      <c r="D20" s="17"/>
      <c r="E20" s="17"/>
      <c r="F20" s="17"/>
      <c r="G20" s="219"/>
      <c r="H20" s="219"/>
      <c r="I20" s="219"/>
      <c r="J20" s="219"/>
      <c r="K20" s="17"/>
      <c r="L20" s="17"/>
      <c r="M20" s="17"/>
      <c r="N20"/>
      <c r="R20"/>
    </row>
    <row r="21" spans="1:19" s="9" customFormat="1" x14ac:dyDescent="0.3">
      <c r="A21" s="15"/>
      <c r="B21" s="16"/>
      <c r="C21" s="15"/>
      <c r="D21" s="17"/>
      <c r="E21" s="17"/>
      <c r="F21" s="17"/>
      <c r="G21" s="219"/>
      <c r="H21" s="219"/>
      <c r="I21" s="219"/>
      <c r="J21" s="219"/>
      <c r="K21" s="17"/>
      <c r="L21" s="17"/>
      <c r="M21" s="17"/>
      <c r="N21"/>
      <c r="R21"/>
    </row>
    <row r="22" spans="1:19" s="9" customFormat="1" x14ac:dyDescent="0.3">
      <c r="A22" s="15"/>
      <c r="B22" s="16"/>
      <c r="C22" s="15"/>
      <c r="D22" s="17"/>
      <c r="E22" s="17"/>
      <c r="F22" s="17"/>
      <c r="G22" s="219"/>
      <c r="H22" s="219"/>
      <c r="I22" s="219"/>
      <c r="J22" s="219"/>
      <c r="K22" s="17"/>
      <c r="L22" s="17"/>
      <c r="M22" s="17"/>
      <c r="N22"/>
      <c r="R22"/>
    </row>
    <row r="23" spans="1:19" s="9" customFormat="1" x14ac:dyDescent="0.3">
      <c r="A23" s="15"/>
      <c r="B23" s="16"/>
      <c r="C23" s="15"/>
      <c r="D23" s="17"/>
      <c r="E23" s="17"/>
      <c r="F23" s="17"/>
      <c r="G23" s="219"/>
      <c r="H23" s="219"/>
      <c r="I23" s="219"/>
      <c r="J23" s="219"/>
      <c r="K23" s="17"/>
      <c r="L23" s="17"/>
      <c r="M23" s="17"/>
      <c r="N23"/>
      <c r="R23"/>
    </row>
    <row r="24" spans="1:19" s="9" customFormat="1" x14ac:dyDescent="0.3">
      <c r="A24" s="15"/>
      <c r="B24" s="16"/>
      <c r="C24" s="15"/>
      <c r="D24" s="17"/>
      <c r="E24" s="17"/>
      <c r="F24" s="17"/>
      <c r="G24" s="219"/>
      <c r="H24" s="219"/>
      <c r="I24" s="219"/>
      <c r="J24" s="219"/>
      <c r="K24" s="17"/>
      <c r="L24" s="17"/>
      <c r="M24" s="17"/>
      <c r="N24"/>
      <c r="R24"/>
    </row>
    <row r="25" spans="1:19" s="9" customFormat="1" x14ac:dyDescent="0.3">
      <c r="A25" s="15"/>
      <c r="B25" s="16"/>
      <c r="C25" s="15"/>
      <c r="D25" s="17"/>
      <c r="E25" s="17"/>
      <c r="F25" s="17"/>
      <c r="G25" s="219"/>
      <c r="H25" s="219"/>
      <c r="I25" s="219"/>
      <c r="J25" s="219"/>
      <c r="K25" s="17"/>
      <c r="L25" s="17"/>
      <c r="M25" s="17"/>
      <c r="N25"/>
      <c r="R25"/>
    </row>
    <row r="26" spans="1:19" s="9" customFormat="1" x14ac:dyDescent="0.3">
      <c r="A26" s="15"/>
      <c r="B26" s="16"/>
      <c r="C26" s="15"/>
      <c r="D26" s="17"/>
      <c r="E26" s="17"/>
      <c r="F26" s="17"/>
      <c r="G26" s="219"/>
      <c r="H26" s="219"/>
      <c r="I26" s="219"/>
      <c r="J26" s="219"/>
      <c r="K26" s="17"/>
      <c r="L26" s="17"/>
      <c r="M26" s="17"/>
      <c r="N26"/>
      <c r="R26"/>
    </row>
    <row r="27" spans="1:19" s="9" customFormat="1" x14ac:dyDescent="0.3">
      <c r="A27" s="15"/>
      <c r="B27" s="16"/>
      <c r="C27" s="15"/>
      <c r="D27" s="17"/>
      <c r="E27" s="17"/>
      <c r="F27" s="17"/>
      <c r="G27" s="219"/>
      <c r="H27" s="219"/>
      <c r="I27" s="219"/>
      <c r="J27" s="219"/>
      <c r="K27" s="17"/>
      <c r="L27" s="17"/>
      <c r="M27" s="17"/>
      <c r="N27"/>
      <c r="R27"/>
    </row>
    <row r="28" spans="1:19" s="9" customFormat="1" x14ac:dyDescent="0.3">
      <c r="A28" s="15"/>
      <c r="B28" s="16"/>
      <c r="C28" s="15"/>
      <c r="D28" s="17"/>
      <c r="E28" s="17"/>
      <c r="F28" s="17"/>
      <c r="G28" s="219"/>
      <c r="H28" s="219"/>
      <c r="I28" s="219"/>
      <c r="J28" s="219"/>
      <c r="K28" s="17"/>
      <c r="L28" s="17"/>
      <c r="M28" s="17"/>
      <c r="N28"/>
      <c r="R28"/>
    </row>
    <row r="29" spans="1:19" s="9" customFormat="1" x14ac:dyDescent="0.3">
      <c r="A29" s="15"/>
      <c r="B29" s="16"/>
      <c r="C29" s="15"/>
      <c r="D29" s="17"/>
      <c r="E29" s="17"/>
      <c r="F29" s="17"/>
      <c r="G29" s="219"/>
      <c r="H29" s="219"/>
      <c r="I29" s="219"/>
      <c r="J29" s="219"/>
      <c r="K29" s="17"/>
      <c r="L29" s="17"/>
      <c r="M29" s="17"/>
      <c r="N29"/>
      <c r="R29"/>
    </row>
    <row r="30" spans="1:19" s="9" customFormat="1" x14ac:dyDescent="0.3">
      <c r="A30" s="15"/>
      <c r="B30" s="16"/>
      <c r="C30" s="15"/>
      <c r="D30" s="17"/>
      <c r="E30" s="17"/>
      <c r="F30" s="17"/>
      <c r="G30" s="219"/>
      <c r="H30" s="219"/>
      <c r="I30" s="219"/>
      <c r="J30" s="219"/>
      <c r="K30" s="17"/>
      <c r="L30" s="17"/>
      <c r="M30" s="17"/>
      <c r="N30"/>
      <c r="R30"/>
    </row>
    <row r="31" spans="1:19" s="9" customFormat="1" x14ac:dyDescent="0.3">
      <c r="A31" s="15"/>
      <c r="B31" s="16"/>
      <c r="C31" s="15"/>
      <c r="D31" s="17"/>
      <c r="E31" s="17"/>
      <c r="F31" s="17"/>
      <c r="G31" s="219"/>
      <c r="H31" s="219"/>
      <c r="I31" s="219"/>
      <c r="J31" s="219"/>
      <c r="K31" s="17"/>
      <c r="L31" s="17"/>
      <c r="M31" s="17"/>
      <c r="N31"/>
      <c r="R31"/>
    </row>
    <row r="32" spans="1:19" s="9" customFormat="1" x14ac:dyDescent="0.3">
      <c r="A32" s="15"/>
      <c r="B32" s="16"/>
      <c r="C32" s="15"/>
      <c r="D32" s="17"/>
      <c r="E32" s="17"/>
      <c r="F32" s="17"/>
      <c r="G32" s="219"/>
      <c r="H32" s="219"/>
      <c r="I32" s="219"/>
      <c r="J32" s="219"/>
      <c r="K32" s="17"/>
      <c r="L32" s="17"/>
      <c r="M32" s="17"/>
      <c r="N32"/>
      <c r="R32"/>
    </row>
    <row r="33" spans="1:18" s="9" customFormat="1" x14ac:dyDescent="0.3">
      <c r="A33" s="15"/>
      <c r="B33" s="16"/>
      <c r="C33" s="15"/>
      <c r="D33" s="17"/>
      <c r="E33" s="17"/>
      <c r="F33" s="17"/>
      <c r="G33" s="219"/>
      <c r="H33" s="219"/>
      <c r="I33" s="219"/>
      <c r="J33" s="219"/>
      <c r="K33" s="17"/>
      <c r="L33" s="17"/>
      <c r="M33" s="17"/>
      <c r="N33"/>
      <c r="R33"/>
    </row>
    <row r="34" spans="1:18" s="9" customFormat="1" x14ac:dyDescent="0.3">
      <c r="A34" s="15"/>
      <c r="B34" s="16"/>
      <c r="C34" s="15"/>
      <c r="D34" s="17"/>
      <c r="E34" s="17"/>
      <c r="F34" s="17"/>
      <c r="G34" s="219"/>
      <c r="H34" s="219"/>
      <c r="I34" s="219"/>
      <c r="J34" s="219"/>
      <c r="K34" s="17"/>
      <c r="L34" s="17"/>
      <c r="M34" s="17"/>
      <c r="N34"/>
      <c r="R34"/>
    </row>
    <row r="35" spans="1:18" s="9" customFormat="1" x14ac:dyDescent="0.3">
      <c r="A35" s="15"/>
      <c r="B35" s="16"/>
      <c r="C35" s="15"/>
      <c r="D35" s="17"/>
      <c r="E35" s="17"/>
      <c r="F35" s="17"/>
      <c r="G35" s="219"/>
      <c r="H35" s="219"/>
      <c r="I35" s="219"/>
      <c r="J35" s="219"/>
      <c r="K35" s="17"/>
      <c r="L35" s="17"/>
      <c r="M35" s="17"/>
    </row>
    <row r="36" spans="1:18" s="9" customFormat="1" x14ac:dyDescent="0.3">
      <c r="A36" s="15"/>
      <c r="B36" s="16"/>
      <c r="C36" s="15"/>
      <c r="D36" s="17"/>
      <c r="E36" s="17"/>
      <c r="F36" s="17"/>
      <c r="G36" s="219"/>
      <c r="H36" s="219"/>
      <c r="I36" s="219"/>
      <c r="J36" s="219"/>
      <c r="K36" s="17"/>
      <c r="L36" s="17"/>
      <c r="M36" s="17"/>
    </row>
    <row r="37" spans="1:18" s="9" customFormat="1" x14ac:dyDescent="0.3">
      <c r="A37" s="15"/>
      <c r="B37" s="16"/>
      <c r="C37" s="15"/>
      <c r="D37" s="17"/>
      <c r="E37" s="17"/>
      <c r="F37" s="17"/>
      <c r="G37" s="219"/>
      <c r="H37" s="219"/>
      <c r="I37" s="219"/>
      <c r="J37" s="219"/>
      <c r="K37" s="17"/>
      <c r="L37" s="17"/>
      <c r="M37" s="17"/>
    </row>
    <row r="38" spans="1:18" s="9" customFormat="1" x14ac:dyDescent="0.3">
      <c r="A38" s="15"/>
      <c r="B38" s="16"/>
      <c r="C38" s="15"/>
      <c r="D38" s="17"/>
      <c r="E38" s="17"/>
      <c r="F38" s="17"/>
      <c r="G38" s="219"/>
      <c r="H38" s="219"/>
      <c r="I38" s="219"/>
      <c r="J38" s="219"/>
      <c r="K38" s="17"/>
      <c r="L38" s="17"/>
      <c r="M38" s="17"/>
    </row>
    <row r="39" spans="1:18" s="9" customFormat="1" x14ac:dyDescent="0.3">
      <c r="A39" s="15"/>
      <c r="B39" s="220"/>
      <c r="C39" s="15"/>
      <c r="D39" s="17"/>
      <c r="E39" s="17"/>
      <c r="F39" s="17"/>
      <c r="G39" s="219"/>
      <c r="H39" s="219"/>
      <c r="I39" s="219"/>
      <c r="J39" s="219"/>
      <c r="K39" s="17"/>
      <c r="L39" s="17"/>
      <c r="M39" s="17"/>
    </row>
    <row r="40" spans="1:18" s="9" customFormat="1" x14ac:dyDescent="0.3">
      <c r="A40" s="15"/>
      <c r="B40" s="220"/>
      <c r="C40" s="15"/>
      <c r="D40" s="17"/>
      <c r="E40" s="17"/>
      <c r="F40" s="17"/>
      <c r="G40" s="219"/>
      <c r="H40" s="219"/>
      <c r="I40" s="219"/>
      <c r="J40" s="219"/>
      <c r="K40" s="17"/>
      <c r="L40" s="17"/>
      <c r="M40" s="17"/>
    </row>
    <row r="41" spans="1:18" s="9" customFormat="1" x14ac:dyDescent="0.3">
      <c r="A41" s="15"/>
      <c r="B41" s="220"/>
      <c r="C41" s="15"/>
      <c r="D41" s="17"/>
      <c r="E41" s="17"/>
      <c r="F41" s="17"/>
      <c r="G41" s="219"/>
      <c r="H41" s="219"/>
      <c r="I41" s="219"/>
      <c r="J41" s="219"/>
      <c r="K41" s="17"/>
      <c r="L41" s="17"/>
      <c r="M41" s="17"/>
    </row>
    <row r="42" spans="1:18" s="9" customFormat="1" x14ac:dyDescent="0.3">
      <c r="A42" s="15"/>
      <c r="B42" s="220"/>
      <c r="C42" s="15"/>
      <c r="D42" s="17"/>
      <c r="E42" s="17"/>
      <c r="F42" s="17"/>
      <c r="G42" s="219"/>
      <c r="H42" s="219"/>
      <c r="I42" s="219"/>
      <c r="J42" s="219"/>
      <c r="K42" s="17"/>
      <c r="L42" s="17"/>
      <c r="M42" s="17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FC28-92FA-4BAA-945C-9A40E0145EE6}">
  <sheetPr codeName="Hoja4" filterMode="1"/>
  <dimension ref="A1:G119"/>
  <sheetViews>
    <sheetView topLeftCell="A3" zoomScale="80" zoomScaleNormal="80" workbookViewId="0">
      <selection activeCell="G95" sqref="G95"/>
    </sheetView>
  </sheetViews>
  <sheetFormatPr baseColWidth="10" defaultRowHeight="14.4" x14ac:dyDescent="0.3"/>
  <cols>
    <col min="1" max="1" width="18.109375" style="8" bestFit="1" customWidth="1"/>
    <col min="2" max="2" width="62.6640625" style="8" customWidth="1"/>
    <col min="3" max="3" width="18" style="8" bestFit="1" customWidth="1"/>
    <col min="4" max="4" width="78.5546875" style="8" customWidth="1"/>
    <col min="5" max="5" width="15.109375" bestFit="1" customWidth="1"/>
    <col min="6" max="6" width="13" bestFit="1" customWidth="1"/>
  </cols>
  <sheetData>
    <row r="1" spans="1:7" s="9" customFormat="1" ht="15" thickBot="1" x14ac:dyDescent="0.35">
      <c r="A1" s="193" t="s">
        <v>51</v>
      </c>
      <c r="B1" s="135"/>
      <c r="C1" s="135"/>
      <c r="G1" s="194"/>
    </row>
    <row r="2" spans="1:7" s="9" customFormat="1" ht="28.2" thickBot="1" x14ac:dyDescent="0.35">
      <c r="A2" s="10" t="s">
        <v>10</v>
      </c>
      <c r="B2" s="11" t="s">
        <v>11</v>
      </c>
      <c r="C2" s="11" t="s">
        <v>12</v>
      </c>
      <c r="G2" s="194"/>
    </row>
    <row r="3" spans="1:7" s="9" customFormat="1" x14ac:dyDescent="0.3">
      <c r="A3" s="12">
        <v>1</v>
      </c>
      <c r="B3" s="13">
        <v>0</v>
      </c>
      <c r="C3" s="12"/>
      <c r="G3" s="194"/>
    </row>
    <row r="4" spans="1:7" s="9" customFormat="1" ht="15" thickBot="1" x14ac:dyDescent="0.35">
      <c r="G4" s="194"/>
    </row>
    <row r="5" spans="1:7" s="9" customFormat="1" ht="15" thickBot="1" x14ac:dyDescent="0.35">
      <c r="A5" s="10" t="s">
        <v>10</v>
      </c>
      <c r="B5" s="11" t="s">
        <v>11</v>
      </c>
      <c r="G5" s="194"/>
    </row>
    <row r="6" spans="1:7" s="9" customFormat="1" x14ac:dyDescent="0.3">
      <c r="A6" s="430" t="s">
        <v>2</v>
      </c>
      <c r="B6" s="221" t="s">
        <v>146</v>
      </c>
      <c r="G6" s="194"/>
    </row>
    <row r="7" spans="1:7" s="9" customFormat="1" x14ac:dyDescent="0.3">
      <c r="A7" s="431"/>
      <c r="B7" s="221" t="s">
        <v>147</v>
      </c>
      <c r="G7" s="194"/>
    </row>
    <row r="8" spans="1:7" s="9" customFormat="1" ht="15" thickBot="1" x14ac:dyDescent="0.35">
      <c r="A8" s="135"/>
      <c r="B8" s="135"/>
      <c r="C8" s="135"/>
      <c r="D8" s="135"/>
      <c r="E8" s="194"/>
      <c r="F8" s="194"/>
      <c r="G8" s="194"/>
    </row>
    <row r="9" spans="1:7" s="9" customFormat="1" ht="28.2" thickBot="1" x14ac:dyDescent="0.35">
      <c r="A9" s="222" t="s">
        <v>52</v>
      </c>
      <c r="B9" s="222" t="s">
        <v>53</v>
      </c>
      <c r="C9" s="223" t="s">
        <v>54</v>
      </c>
      <c r="D9" s="222" t="s">
        <v>55</v>
      </c>
      <c r="E9" s="224" t="s">
        <v>56</v>
      </c>
      <c r="F9" s="11" t="s">
        <v>57</v>
      </c>
      <c r="G9" s="14"/>
    </row>
    <row r="10" spans="1:7" s="2" customFormat="1" hidden="1" x14ac:dyDescent="0.3">
      <c r="A10" s="4" t="s">
        <v>124</v>
      </c>
      <c r="B10" s="4" t="s">
        <v>123</v>
      </c>
      <c r="C10" s="23">
        <v>8483609900</v>
      </c>
      <c r="D10" s="52" t="s">
        <v>125</v>
      </c>
      <c r="E10" s="21">
        <v>0.1</v>
      </c>
      <c r="F10" s="5"/>
      <c r="G10" s="5"/>
    </row>
    <row r="11" spans="1:7" s="2" customFormat="1" hidden="1" x14ac:dyDescent="0.3">
      <c r="A11" s="3" t="s">
        <v>84</v>
      </c>
      <c r="B11" s="4" t="s">
        <v>82</v>
      </c>
      <c r="C11" s="23">
        <v>7616999999</v>
      </c>
      <c r="D11" s="3" t="s">
        <v>118</v>
      </c>
      <c r="E11" s="22">
        <v>0.15</v>
      </c>
      <c r="F11" s="7"/>
      <c r="G11" s="7"/>
    </row>
    <row r="12" spans="1:7" s="2" customFormat="1" hidden="1" x14ac:dyDescent="0.3">
      <c r="A12" s="3" t="s">
        <v>19</v>
      </c>
      <c r="B12" s="4" t="s">
        <v>80</v>
      </c>
      <c r="C12" s="23">
        <v>8428700100</v>
      </c>
      <c r="D12" s="19" t="s">
        <v>114</v>
      </c>
      <c r="E12" s="22">
        <v>0.15</v>
      </c>
      <c r="F12" s="7"/>
      <c r="G12" s="7"/>
    </row>
    <row r="13" spans="1:7" s="2" customFormat="1" hidden="1" x14ac:dyDescent="0.3">
      <c r="A13" s="3" t="s">
        <v>19</v>
      </c>
      <c r="B13" s="4" t="s">
        <v>80</v>
      </c>
      <c r="C13" s="23">
        <v>8428700100</v>
      </c>
      <c r="D13" s="19" t="s">
        <v>114</v>
      </c>
      <c r="E13" s="22">
        <v>0.15</v>
      </c>
      <c r="F13" s="7"/>
      <c r="G13" s="7"/>
    </row>
    <row r="14" spans="1:7" s="2" customFormat="1" hidden="1" x14ac:dyDescent="0.3">
      <c r="A14" s="3" t="s">
        <v>19</v>
      </c>
      <c r="B14" s="4" t="s">
        <v>80</v>
      </c>
      <c r="C14" s="23">
        <v>8428700100</v>
      </c>
      <c r="D14" s="19" t="s">
        <v>114</v>
      </c>
      <c r="E14" s="22">
        <v>0.15</v>
      </c>
      <c r="F14" s="7"/>
      <c r="G14" s="7"/>
    </row>
    <row r="15" spans="1:7" s="2" customFormat="1" hidden="1" x14ac:dyDescent="0.3">
      <c r="A15" s="3" t="s">
        <v>69</v>
      </c>
      <c r="B15" s="4" t="s">
        <v>70</v>
      </c>
      <c r="C15" s="4">
        <v>8428909999</v>
      </c>
      <c r="D15" s="3" t="s">
        <v>149</v>
      </c>
      <c r="E15" s="6">
        <v>0.15</v>
      </c>
      <c r="F15" s="7"/>
      <c r="G15" s="7"/>
    </row>
    <row r="16" spans="1:7" s="2" customFormat="1" hidden="1" x14ac:dyDescent="0.3">
      <c r="A16" s="3" t="s">
        <v>69</v>
      </c>
      <c r="B16" s="4" t="s">
        <v>145</v>
      </c>
      <c r="C16" s="3">
        <v>8427909100</v>
      </c>
      <c r="D16" s="3" t="s">
        <v>144</v>
      </c>
      <c r="E16" s="24">
        <v>0.15</v>
      </c>
      <c r="F16" s="7"/>
      <c r="G16" s="7"/>
    </row>
    <row r="17" spans="1:7" s="2" customFormat="1" hidden="1" x14ac:dyDescent="0.3">
      <c r="A17" s="3" t="s">
        <v>84</v>
      </c>
      <c r="B17" s="4" t="s">
        <v>83</v>
      </c>
      <c r="C17" s="3">
        <v>7326909999</v>
      </c>
      <c r="D17" s="3" t="s">
        <v>117</v>
      </c>
      <c r="E17" s="6">
        <v>0.25</v>
      </c>
      <c r="F17" s="7"/>
      <c r="G17" s="7"/>
    </row>
    <row r="18" spans="1:7" s="2" customFormat="1" hidden="1" x14ac:dyDescent="0.3">
      <c r="A18" s="3" t="s">
        <v>84</v>
      </c>
      <c r="B18" s="4" t="s">
        <v>85</v>
      </c>
      <c r="C18" s="23">
        <v>7318159908</v>
      </c>
      <c r="D18" s="3" t="s">
        <v>86</v>
      </c>
      <c r="E18" s="22">
        <v>0.25</v>
      </c>
      <c r="F18" s="7"/>
      <c r="G18" s="7"/>
    </row>
    <row r="19" spans="1:7" s="2" customFormat="1" hidden="1" x14ac:dyDescent="0.3">
      <c r="A19" s="3" t="s">
        <v>84</v>
      </c>
      <c r="B19" s="4" t="s">
        <v>85</v>
      </c>
      <c r="C19" s="23">
        <v>7318159907</v>
      </c>
      <c r="D19" s="3" t="s">
        <v>87</v>
      </c>
      <c r="E19" s="22">
        <v>0.25</v>
      </c>
      <c r="F19" s="7"/>
      <c r="G19" s="7"/>
    </row>
    <row r="20" spans="1:7" s="2" customFormat="1" hidden="1" x14ac:dyDescent="0.3">
      <c r="A20" s="3" t="s">
        <v>84</v>
      </c>
      <c r="B20" s="4" t="s">
        <v>85</v>
      </c>
      <c r="C20" s="23">
        <v>7318159906</v>
      </c>
      <c r="D20" s="3" t="s">
        <v>88</v>
      </c>
      <c r="E20" s="22">
        <v>0.25</v>
      </c>
      <c r="F20" s="7"/>
      <c r="G20" s="7"/>
    </row>
    <row r="21" spans="1:7" s="2" customFormat="1" hidden="1" x14ac:dyDescent="0.3">
      <c r="A21" s="3" t="s">
        <v>84</v>
      </c>
      <c r="B21" s="4" t="s">
        <v>85</v>
      </c>
      <c r="C21" s="3">
        <v>7318159905</v>
      </c>
      <c r="D21" s="3" t="s">
        <v>89</v>
      </c>
      <c r="E21" s="6">
        <v>0.25</v>
      </c>
      <c r="F21" s="7"/>
      <c r="G21" s="7"/>
    </row>
    <row r="22" spans="1:7" s="2" customFormat="1" hidden="1" x14ac:dyDescent="0.3">
      <c r="A22" s="4" t="s">
        <v>84</v>
      </c>
      <c r="B22" s="4" t="s">
        <v>85</v>
      </c>
      <c r="C22" s="3">
        <v>7318159904</v>
      </c>
      <c r="D22" s="3" t="s">
        <v>90</v>
      </c>
      <c r="E22" s="6">
        <v>0.25</v>
      </c>
      <c r="F22" s="7"/>
      <c r="G22" s="7"/>
    </row>
    <row r="23" spans="1:7" s="2" customFormat="1" hidden="1" x14ac:dyDescent="0.3">
      <c r="A23" s="4" t="s">
        <v>84</v>
      </c>
      <c r="B23" s="4" t="s">
        <v>85</v>
      </c>
      <c r="C23" s="3">
        <v>7318159909</v>
      </c>
      <c r="D23" s="3" t="s">
        <v>120</v>
      </c>
      <c r="E23" s="6">
        <v>0.25</v>
      </c>
      <c r="F23" s="7"/>
      <c r="G23" s="7"/>
    </row>
    <row r="24" spans="1:7" s="2" customFormat="1" hidden="1" x14ac:dyDescent="0.3">
      <c r="A24" s="4" t="s">
        <v>84</v>
      </c>
      <c r="B24" s="4" t="s">
        <v>98</v>
      </c>
      <c r="C24" s="23">
        <v>7318160602</v>
      </c>
      <c r="D24" s="3" t="s">
        <v>121</v>
      </c>
      <c r="E24" s="22">
        <v>0.25</v>
      </c>
      <c r="F24" s="7"/>
      <c r="G24" s="7"/>
    </row>
    <row r="25" spans="1:7" s="2" customFormat="1" hidden="1" x14ac:dyDescent="0.3">
      <c r="A25" s="4" t="s">
        <v>84</v>
      </c>
      <c r="B25" s="4" t="s">
        <v>98</v>
      </c>
      <c r="C25" s="23">
        <v>7318160603</v>
      </c>
      <c r="D25" s="4" t="s">
        <v>129</v>
      </c>
      <c r="E25" s="22">
        <v>0.25</v>
      </c>
      <c r="F25" s="7"/>
      <c r="G25" s="7"/>
    </row>
    <row r="26" spans="1:7" s="2" customFormat="1" hidden="1" x14ac:dyDescent="0.3">
      <c r="A26" s="4" t="s">
        <v>84</v>
      </c>
      <c r="B26" s="4" t="s">
        <v>98</v>
      </c>
      <c r="C26" s="23">
        <v>7318160604</v>
      </c>
      <c r="D26" s="4" t="s">
        <v>130</v>
      </c>
      <c r="E26" s="22">
        <v>0.25</v>
      </c>
      <c r="F26" s="7"/>
      <c r="G26" s="7"/>
    </row>
    <row r="27" spans="1:7" s="2" customFormat="1" hidden="1" x14ac:dyDescent="0.3">
      <c r="A27" s="4" t="s">
        <v>84</v>
      </c>
      <c r="B27" s="4" t="s">
        <v>98</v>
      </c>
      <c r="C27" s="23">
        <v>7318160605</v>
      </c>
      <c r="D27" s="4" t="s">
        <v>131</v>
      </c>
      <c r="E27" s="22">
        <v>0.25</v>
      </c>
      <c r="F27" s="7"/>
      <c r="G27" s="7"/>
    </row>
    <row r="28" spans="1:7" s="2" customFormat="1" hidden="1" x14ac:dyDescent="0.3">
      <c r="A28" s="3" t="s">
        <v>67</v>
      </c>
      <c r="B28" s="4" t="s">
        <v>68</v>
      </c>
      <c r="C28" s="23">
        <v>7314420100</v>
      </c>
      <c r="D28" s="3" t="s">
        <v>108</v>
      </c>
      <c r="E28" s="22">
        <v>0.25</v>
      </c>
      <c r="F28" s="7"/>
      <c r="G28" s="7"/>
    </row>
    <row r="29" spans="1:7" s="2" customFormat="1" hidden="1" x14ac:dyDescent="0.3">
      <c r="A29" s="3" t="s">
        <v>238</v>
      </c>
      <c r="B29" s="4" t="s">
        <v>78</v>
      </c>
      <c r="C29" s="4">
        <v>7604210100</v>
      </c>
      <c r="D29" s="3" t="s">
        <v>107</v>
      </c>
      <c r="E29" s="6">
        <v>0.25</v>
      </c>
      <c r="F29" s="3"/>
      <c r="G29" s="7"/>
    </row>
    <row r="30" spans="1:7" s="9" customFormat="1" x14ac:dyDescent="0.3">
      <c r="A30" s="220" t="s">
        <v>238</v>
      </c>
      <c r="B30" s="220" t="s">
        <v>93</v>
      </c>
      <c r="C30" s="206">
        <v>8428399999</v>
      </c>
      <c r="D30" s="206" t="s">
        <v>392</v>
      </c>
      <c r="E30" s="225">
        <v>0</v>
      </c>
      <c r="F30" s="17"/>
      <c r="G30" s="17"/>
    </row>
    <row r="31" spans="1:7" s="9" customFormat="1" x14ac:dyDescent="0.3">
      <c r="A31" s="220" t="s">
        <v>50</v>
      </c>
      <c r="B31" s="220" t="s">
        <v>91</v>
      </c>
      <c r="C31" s="206">
        <v>8428339100</v>
      </c>
      <c r="D31" s="206" t="s">
        <v>109</v>
      </c>
      <c r="E31" s="225">
        <v>0</v>
      </c>
      <c r="F31" s="17"/>
      <c r="G31" s="17"/>
    </row>
    <row r="32" spans="1:7" s="9" customFormat="1" x14ac:dyDescent="0.3">
      <c r="A32" s="220" t="s">
        <v>50</v>
      </c>
      <c r="B32" s="220" t="s">
        <v>126</v>
      </c>
      <c r="C32" s="206">
        <v>3926909902</v>
      </c>
      <c r="D32" s="220" t="s">
        <v>127</v>
      </c>
      <c r="E32" s="225">
        <v>0</v>
      </c>
      <c r="F32" s="17"/>
      <c r="G32" s="17"/>
    </row>
    <row r="33" spans="1:7" s="9" customFormat="1" x14ac:dyDescent="0.3">
      <c r="A33" s="206" t="s">
        <v>50</v>
      </c>
      <c r="B33" s="206" t="s">
        <v>79</v>
      </c>
      <c r="C33" s="206">
        <v>8483400999</v>
      </c>
      <c r="D33" s="206" t="s">
        <v>128</v>
      </c>
      <c r="E33" s="225">
        <v>0</v>
      </c>
      <c r="F33" s="17"/>
      <c r="G33" s="17"/>
    </row>
    <row r="34" spans="1:7" s="9" customFormat="1" x14ac:dyDescent="0.3">
      <c r="A34" s="206" t="s">
        <v>4</v>
      </c>
      <c r="B34" s="220" t="s">
        <v>65</v>
      </c>
      <c r="C34" s="206">
        <v>8431399900</v>
      </c>
      <c r="D34" s="206" t="s">
        <v>111</v>
      </c>
      <c r="E34" s="225">
        <v>0</v>
      </c>
      <c r="F34" s="206"/>
      <c r="G34" s="17"/>
    </row>
    <row r="35" spans="1:7" s="9" customFormat="1" x14ac:dyDescent="0.3">
      <c r="A35" s="206" t="s">
        <v>4</v>
      </c>
      <c r="B35" s="220" t="s">
        <v>58</v>
      </c>
      <c r="C35" s="206">
        <v>3926909902</v>
      </c>
      <c r="D35" s="206" t="s">
        <v>110</v>
      </c>
      <c r="E35" s="225">
        <v>0</v>
      </c>
      <c r="F35" s="17"/>
      <c r="G35" s="207"/>
    </row>
    <row r="36" spans="1:7" s="9" customFormat="1" x14ac:dyDescent="0.3">
      <c r="A36" s="206" t="s">
        <v>4</v>
      </c>
      <c r="B36" s="220" t="s">
        <v>77</v>
      </c>
      <c r="C36" s="220">
        <v>8431399900</v>
      </c>
      <c r="D36" s="206" t="s">
        <v>111</v>
      </c>
      <c r="E36" s="225">
        <v>0</v>
      </c>
      <c r="F36" s="17"/>
      <c r="G36" s="17"/>
    </row>
    <row r="37" spans="1:7" s="9" customFormat="1" x14ac:dyDescent="0.3">
      <c r="A37" s="220" t="s">
        <v>4</v>
      </c>
      <c r="B37" s="220" t="s">
        <v>92</v>
      </c>
      <c r="C37" s="206">
        <v>8428339100</v>
      </c>
      <c r="D37" s="206" t="s">
        <v>109</v>
      </c>
      <c r="E37" s="225">
        <v>0</v>
      </c>
      <c r="F37" s="17"/>
      <c r="G37" s="17"/>
    </row>
    <row r="38" spans="1:7" s="9" customFormat="1" x14ac:dyDescent="0.3">
      <c r="A38" s="220" t="s">
        <v>4</v>
      </c>
      <c r="B38" s="220" t="s">
        <v>94</v>
      </c>
      <c r="C38" s="226">
        <v>8428399999</v>
      </c>
      <c r="D38" s="206" t="s">
        <v>139</v>
      </c>
      <c r="E38" s="225">
        <v>0</v>
      </c>
      <c r="F38" s="17"/>
      <c r="G38" s="17"/>
    </row>
    <row r="39" spans="1:7" s="9" customFormat="1" x14ac:dyDescent="0.3">
      <c r="A39" s="220" t="s">
        <v>4</v>
      </c>
      <c r="B39" s="220" t="s">
        <v>95</v>
      </c>
      <c r="C39" s="226">
        <v>8428399999</v>
      </c>
      <c r="D39" s="206" t="s">
        <v>140</v>
      </c>
      <c r="E39" s="225">
        <v>0</v>
      </c>
      <c r="F39" s="17"/>
      <c r="G39" s="17"/>
    </row>
    <row r="40" spans="1:7" s="9" customFormat="1" x14ac:dyDescent="0.3">
      <c r="A40" s="206" t="s">
        <v>4</v>
      </c>
      <c r="B40" s="220" t="s">
        <v>81</v>
      </c>
      <c r="C40" s="227">
        <v>8431399900</v>
      </c>
      <c r="D40" s="206" t="s">
        <v>119</v>
      </c>
      <c r="E40" s="225">
        <v>0</v>
      </c>
      <c r="F40" s="17"/>
      <c r="G40" s="17"/>
    </row>
    <row r="41" spans="1:7" s="9" customFormat="1" x14ac:dyDescent="0.3">
      <c r="A41" s="206" t="s">
        <v>137</v>
      </c>
      <c r="B41" s="220" t="s">
        <v>72</v>
      </c>
      <c r="C41" s="227">
        <v>8501519999</v>
      </c>
      <c r="D41" s="206" t="s">
        <v>135</v>
      </c>
      <c r="E41" s="225">
        <v>0</v>
      </c>
      <c r="F41" s="17"/>
      <c r="G41" s="17"/>
    </row>
    <row r="42" spans="1:7" s="9" customFormat="1" x14ac:dyDescent="0.3">
      <c r="A42" s="206" t="s">
        <v>137</v>
      </c>
      <c r="B42" s="220" t="s">
        <v>73</v>
      </c>
      <c r="C42" s="227">
        <v>8501519999</v>
      </c>
      <c r="D42" s="206" t="s">
        <v>136</v>
      </c>
      <c r="E42" s="225">
        <v>0</v>
      </c>
      <c r="F42" s="17"/>
      <c r="G42" s="17"/>
    </row>
    <row r="43" spans="1:7" s="9" customFormat="1" x14ac:dyDescent="0.3">
      <c r="A43" s="206" t="s">
        <v>19</v>
      </c>
      <c r="B43" s="220" t="s">
        <v>63</v>
      </c>
      <c r="C43" s="227">
        <v>8543900100</v>
      </c>
      <c r="D43" s="206" t="s">
        <v>138</v>
      </c>
      <c r="E43" s="225">
        <v>0</v>
      </c>
      <c r="F43" s="17"/>
      <c r="G43" s="207"/>
    </row>
    <row r="44" spans="1:7" s="9" customFormat="1" x14ac:dyDescent="0.3">
      <c r="A44" s="206" t="s">
        <v>19</v>
      </c>
      <c r="B44" s="220" t="s">
        <v>62</v>
      </c>
      <c r="C44" s="206">
        <v>8504401500</v>
      </c>
      <c r="D44" s="206" t="s">
        <v>112</v>
      </c>
      <c r="E44" s="225">
        <v>0</v>
      </c>
      <c r="F44" s="17"/>
      <c r="G44" s="207"/>
    </row>
    <row r="45" spans="1:7" s="9" customFormat="1" x14ac:dyDescent="0.3">
      <c r="A45" s="206" t="s">
        <v>19</v>
      </c>
      <c r="B45" s="220" t="s">
        <v>66</v>
      </c>
      <c r="C45" s="206">
        <v>8507600100</v>
      </c>
      <c r="D45" s="206" t="s">
        <v>113</v>
      </c>
      <c r="E45" s="225">
        <v>0</v>
      </c>
      <c r="F45" s="17"/>
      <c r="G45" s="17"/>
    </row>
    <row r="46" spans="1:7" s="9" customFormat="1" x14ac:dyDescent="0.3">
      <c r="A46" s="206" t="s">
        <v>74</v>
      </c>
      <c r="B46" s="220" t="s">
        <v>71</v>
      </c>
      <c r="C46" s="206">
        <v>8479901899</v>
      </c>
      <c r="D46" s="206" t="s">
        <v>122</v>
      </c>
      <c r="E46" s="225">
        <v>0</v>
      </c>
      <c r="F46" s="17"/>
      <c r="G46" s="17"/>
    </row>
    <row r="47" spans="1:7" s="9" customFormat="1" x14ac:dyDescent="0.3">
      <c r="A47" s="206" t="s">
        <v>74</v>
      </c>
      <c r="B47" s="220" t="s">
        <v>75</v>
      </c>
      <c r="C47" s="220">
        <v>8479901899</v>
      </c>
      <c r="D47" s="206" t="s">
        <v>115</v>
      </c>
      <c r="E47" s="225">
        <v>0</v>
      </c>
      <c r="F47" s="17"/>
      <c r="G47" s="17"/>
    </row>
    <row r="48" spans="1:7" s="9" customFormat="1" x14ac:dyDescent="0.3">
      <c r="A48" s="206" t="s">
        <v>59</v>
      </c>
      <c r="B48" s="220" t="s">
        <v>64</v>
      </c>
      <c r="C48" s="206">
        <v>4010399999</v>
      </c>
      <c r="D48" s="206" t="s">
        <v>64</v>
      </c>
      <c r="E48" s="225">
        <v>0</v>
      </c>
      <c r="F48" s="206"/>
      <c r="G48" s="207"/>
    </row>
    <row r="49" spans="1:7" s="9" customFormat="1" x14ac:dyDescent="0.3">
      <c r="A49" s="220" t="s">
        <v>96</v>
      </c>
      <c r="B49" s="220" t="s">
        <v>97</v>
      </c>
      <c r="C49" s="206">
        <v>8428399999</v>
      </c>
      <c r="D49" s="206" t="s">
        <v>116</v>
      </c>
      <c r="E49" s="225">
        <v>0</v>
      </c>
      <c r="F49" s="17"/>
      <c r="G49" s="17"/>
    </row>
    <row r="50" spans="1:7" s="9" customFormat="1" x14ac:dyDescent="0.3">
      <c r="A50" s="206" t="s">
        <v>76</v>
      </c>
      <c r="B50" s="220" t="s">
        <v>75</v>
      </c>
      <c r="C50" s="220">
        <v>8479901899</v>
      </c>
      <c r="D50" s="206" t="s">
        <v>115</v>
      </c>
      <c r="E50" s="225">
        <v>0</v>
      </c>
      <c r="F50" s="206"/>
      <c r="G50" s="17"/>
    </row>
    <row r="51" spans="1:7" s="9" customFormat="1" x14ac:dyDescent="0.3">
      <c r="A51" s="206" t="s">
        <v>60</v>
      </c>
      <c r="B51" s="220" t="s">
        <v>61</v>
      </c>
      <c r="C51" s="206">
        <v>8479500100</v>
      </c>
      <c r="D51" s="206" t="s">
        <v>384</v>
      </c>
      <c r="E51" s="225">
        <v>0</v>
      </c>
      <c r="F51" s="17"/>
      <c r="G51" s="207"/>
    </row>
    <row r="52" spans="1:7" s="2" customFormat="1" hidden="1" x14ac:dyDescent="0.3">
      <c r="A52" s="3" t="s">
        <v>47</v>
      </c>
      <c r="B52" s="4" t="s">
        <v>383</v>
      </c>
      <c r="C52" s="3"/>
      <c r="D52" s="3" t="s">
        <v>111</v>
      </c>
      <c r="E52" s="3"/>
      <c r="F52" s="7"/>
      <c r="G52" s="7"/>
    </row>
    <row r="53" spans="1:7" s="9" customFormat="1" x14ac:dyDescent="0.3">
      <c r="A53" s="206" t="s">
        <v>60</v>
      </c>
      <c r="B53" s="220" t="s">
        <v>385</v>
      </c>
      <c r="C53" s="220">
        <v>8479901899</v>
      </c>
      <c r="D53" s="206" t="s">
        <v>115</v>
      </c>
      <c r="E53" s="225">
        <v>0</v>
      </c>
      <c r="F53" s="17"/>
      <c r="G53" s="17"/>
    </row>
    <row r="54" spans="1:7" s="9" customFormat="1" x14ac:dyDescent="0.3">
      <c r="A54" s="206" t="s">
        <v>19</v>
      </c>
      <c r="B54" s="220" t="s">
        <v>385</v>
      </c>
      <c r="C54" s="220">
        <v>8479901899</v>
      </c>
      <c r="D54" s="206" t="s">
        <v>115</v>
      </c>
      <c r="E54" s="225">
        <v>0</v>
      </c>
      <c r="F54" s="17"/>
      <c r="G54" s="17"/>
    </row>
    <row r="55" spans="1:7" s="9" customFormat="1" x14ac:dyDescent="0.3">
      <c r="A55" s="206"/>
      <c r="B55" s="220"/>
      <c r="C55" s="206"/>
      <c r="D55" s="206"/>
      <c r="E55" s="206"/>
      <c r="F55" s="17"/>
      <c r="G55" s="17"/>
    </row>
    <row r="56" spans="1:7" s="9" customFormat="1" x14ac:dyDescent="0.3">
      <c r="A56" s="206"/>
      <c r="B56" s="220"/>
      <c r="C56" s="206"/>
      <c r="D56" s="206"/>
      <c r="E56" s="206"/>
      <c r="F56" s="17"/>
      <c r="G56" s="17"/>
    </row>
    <row r="57" spans="1:7" s="9" customFormat="1" x14ac:dyDescent="0.3">
      <c r="A57" s="206"/>
      <c r="B57" s="220"/>
      <c r="C57" s="206"/>
      <c r="D57" s="206"/>
      <c r="E57" s="206"/>
      <c r="F57" s="17"/>
      <c r="G57" s="17"/>
    </row>
    <row r="58" spans="1:7" s="9" customFormat="1" x14ac:dyDescent="0.3">
      <c r="A58" s="206"/>
      <c r="B58" s="220"/>
      <c r="C58" s="206"/>
      <c r="D58" s="206"/>
      <c r="E58" s="206"/>
      <c r="F58" s="17"/>
      <c r="G58" s="17"/>
    </row>
    <row r="59" spans="1:7" s="9" customFormat="1" x14ac:dyDescent="0.3">
      <c r="A59" s="206"/>
      <c r="B59" s="220"/>
      <c r="C59" s="206"/>
      <c r="D59" s="206"/>
      <c r="E59" s="206"/>
      <c r="F59" s="17"/>
      <c r="G59" s="17"/>
    </row>
    <row r="60" spans="1:7" s="9" customFormat="1" x14ac:dyDescent="0.3">
      <c r="A60" s="206"/>
      <c r="B60" s="220"/>
      <c r="C60" s="206"/>
      <c r="D60" s="206"/>
      <c r="E60" s="206"/>
      <c r="F60" s="17"/>
      <c r="G60" s="17"/>
    </row>
    <row r="61" spans="1:7" s="9" customFormat="1" x14ac:dyDescent="0.3">
      <c r="A61" s="206"/>
      <c r="B61" s="220"/>
      <c r="C61" s="206"/>
      <c r="D61" s="206"/>
      <c r="E61" s="206"/>
      <c r="F61" s="17"/>
      <c r="G61" s="17"/>
    </row>
    <row r="62" spans="1:7" s="9" customFormat="1" x14ac:dyDescent="0.3">
      <c r="A62" s="220"/>
      <c r="B62" s="220"/>
      <c r="C62" s="206"/>
      <c r="D62" s="220"/>
      <c r="E62" s="206"/>
      <c r="F62" s="17"/>
      <c r="G62" s="17"/>
    </row>
    <row r="63" spans="1:7" s="9" customFormat="1" x14ac:dyDescent="0.3">
      <c r="A63" s="220"/>
      <c r="B63" s="220"/>
      <c r="C63" s="206"/>
      <c r="D63" s="220"/>
      <c r="E63" s="206"/>
      <c r="F63" s="17"/>
      <c r="G63" s="17"/>
    </row>
    <row r="64" spans="1:7" s="9" customFormat="1" x14ac:dyDescent="0.3">
      <c r="A64" s="220"/>
      <c r="B64" s="220"/>
      <c r="C64" s="206"/>
      <c r="D64" s="220"/>
      <c r="E64" s="206"/>
      <c r="F64" s="17"/>
      <c r="G64" s="17"/>
    </row>
    <row r="65" spans="1:7" s="9" customFormat="1" x14ac:dyDescent="0.3">
      <c r="A65" s="220"/>
      <c r="B65" s="220"/>
      <c r="C65" s="206"/>
      <c r="D65" s="220"/>
      <c r="E65" s="206"/>
      <c r="F65" s="17"/>
      <c r="G65" s="17"/>
    </row>
    <row r="66" spans="1:7" s="9" customFormat="1" x14ac:dyDescent="0.3">
      <c r="A66" s="206"/>
      <c r="B66" s="220"/>
      <c r="C66" s="206"/>
      <c r="D66" s="206"/>
      <c r="E66" s="206"/>
      <c r="F66" s="17"/>
      <c r="G66" s="17"/>
    </row>
    <row r="67" spans="1:7" s="9" customFormat="1" x14ac:dyDescent="0.3">
      <c r="A67" s="206"/>
      <c r="B67" s="220"/>
      <c r="C67" s="206"/>
      <c r="D67" s="206"/>
      <c r="E67" s="206"/>
      <c r="F67" s="17"/>
      <c r="G67" s="17"/>
    </row>
    <row r="68" spans="1:7" s="9" customFormat="1" x14ac:dyDescent="0.3">
      <c r="A68" s="206"/>
      <c r="B68" s="220"/>
      <c r="C68" s="206"/>
      <c r="D68" s="206"/>
      <c r="E68" s="206"/>
      <c r="F68" s="17"/>
      <c r="G68" s="17"/>
    </row>
    <row r="69" spans="1:7" s="9" customFormat="1" x14ac:dyDescent="0.3">
      <c r="A69" s="206"/>
      <c r="B69" s="220"/>
      <c r="C69" s="206"/>
      <c r="D69" s="206"/>
      <c r="E69" s="206"/>
      <c r="F69" s="17"/>
      <c r="G69" s="17"/>
    </row>
    <row r="70" spans="1:7" s="9" customFormat="1" x14ac:dyDescent="0.3">
      <c r="A70" s="220"/>
      <c r="B70" s="220"/>
      <c r="C70" s="206"/>
      <c r="D70" s="220"/>
      <c r="E70" s="206"/>
      <c r="F70" s="17"/>
      <c r="G70" s="17"/>
    </row>
    <row r="71" spans="1:7" s="9" customFormat="1" x14ac:dyDescent="0.3">
      <c r="A71" s="220"/>
      <c r="B71" s="220"/>
      <c r="C71" s="206"/>
      <c r="D71" s="220"/>
      <c r="E71" s="206"/>
      <c r="F71" s="17"/>
      <c r="G71" s="17"/>
    </row>
    <row r="72" spans="1:7" s="9" customFormat="1" x14ac:dyDescent="0.3">
      <c r="A72" s="220"/>
      <c r="B72" s="220"/>
      <c r="C72" s="206"/>
      <c r="D72" s="220"/>
      <c r="E72" s="206"/>
      <c r="F72" s="17"/>
      <c r="G72" s="17"/>
    </row>
    <row r="73" spans="1:7" s="9" customFormat="1" x14ac:dyDescent="0.3">
      <c r="A73" s="220"/>
      <c r="B73" s="220"/>
      <c r="C73" s="206"/>
      <c r="D73" s="220"/>
      <c r="E73" s="206"/>
      <c r="F73" s="17"/>
      <c r="G73" s="17"/>
    </row>
    <row r="74" spans="1:7" s="9" customFormat="1" x14ac:dyDescent="0.3">
      <c r="A74" s="220"/>
      <c r="B74" s="220"/>
      <c r="C74" s="206"/>
      <c r="D74" s="220"/>
      <c r="E74" s="206"/>
      <c r="F74" s="17"/>
      <c r="G74" s="17"/>
    </row>
    <row r="75" spans="1:7" s="9" customFormat="1" x14ac:dyDescent="0.3">
      <c r="A75" s="220"/>
      <c r="B75" s="220"/>
      <c r="C75" s="206"/>
      <c r="D75" s="220"/>
      <c r="E75" s="206"/>
      <c r="F75" s="17"/>
      <c r="G75" s="17"/>
    </row>
    <row r="76" spans="1:7" s="9" customFormat="1" x14ac:dyDescent="0.3">
      <c r="A76" s="220"/>
      <c r="B76" s="220"/>
      <c r="C76" s="206"/>
      <c r="D76" s="220"/>
      <c r="E76" s="206"/>
      <c r="F76" s="17"/>
      <c r="G76" s="17"/>
    </row>
    <row r="77" spans="1:7" s="9" customFormat="1" x14ac:dyDescent="0.3">
      <c r="A77" s="220"/>
      <c r="B77" s="220"/>
      <c r="C77" s="206"/>
      <c r="D77" s="220"/>
      <c r="E77" s="206"/>
      <c r="F77" s="17"/>
      <c r="G77" s="17"/>
    </row>
    <row r="78" spans="1:7" s="9" customFormat="1" x14ac:dyDescent="0.3">
      <c r="A78" s="220"/>
      <c r="B78" s="220"/>
      <c r="C78" s="206"/>
      <c r="D78" s="220"/>
      <c r="E78" s="206"/>
      <c r="F78" s="17"/>
      <c r="G78" s="17"/>
    </row>
    <row r="79" spans="1:7" s="9" customFormat="1" x14ac:dyDescent="0.3">
      <c r="A79" s="220"/>
      <c r="B79" s="220"/>
      <c r="C79" s="206"/>
      <c r="D79" s="220"/>
      <c r="E79" s="206"/>
      <c r="F79" s="17"/>
      <c r="G79" s="17"/>
    </row>
    <row r="80" spans="1:7" s="9" customFormat="1" x14ac:dyDescent="0.3">
      <c r="A80" s="220"/>
      <c r="B80" s="220"/>
      <c r="C80" s="206"/>
      <c r="D80" s="220"/>
      <c r="E80" s="206"/>
      <c r="F80" s="17"/>
      <c r="G80" s="17"/>
    </row>
    <row r="81" spans="1:7" s="9" customFormat="1" x14ac:dyDescent="0.3">
      <c r="A81" s="220"/>
      <c r="B81" s="220"/>
      <c r="C81" s="206"/>
      <c r="D81" s="220"/>
      <c r="E81" s="206"/>
      <c r="F81" s="17"/>
      <c r="G81" s="17"/>
    </row>
    <row r="82" spans="1:7" s="9" customFormat="1" x14ac:dyDescent="0.3">
      <c r="A82" s="220"/>
      <c r="B82" s="220"/>
      <c r="C82" s="206"/>
      <c r="D82" s="220"/>
      <c r="E82" s="206"/>
      <c r="F82" s="17"/>
      <c r="G82" s="17"/>
    </row>
    <row r="83" spans="1:7" s="9" customFormat="1" x14ac:dyDescent="0.3">
      <c r="A83" s="206"/>
      <c r="B83" s="220"/>
      <c r="C83" s="206"/>
      <c r="D83" s="206"/>
      <c r="E83" s="206"/>
      <c r="F83" s="17"/>
      <c r="G83" s="17"/>
    </row>
    <row r="84" spans="1:7" s="9" customFormat="1" x14ac:dyDescent="0.3">
      <c r="A84" s="206"/>
      <c r="B84" s="220"/>
      <c r="C84" s="206"/>
      <c r="D84" s="206"/>
      <c r="E84" s="206"/>
      <c r="F84" s="17"/>
      <c r="G84" s="17"/>
    </row>
    <row r="85" spans="1:7" s="9" customFormat="1" x14ac:dyDescent="0.3">
      <c r="A85" s="206"/>
      <c r="B85" s="220"/>
      <c r="C85" s="206"/>
      <c r="D85" s="206"/>
      <c r="E85" s="206"/>
      <c r="F85" s="17"/>
      <c r="G85" s="17"/>
    </row>
    <row r="86" spans="1:7" s="9" customFormat="1" x14ac:dyDescent="0.3">
      <c r="A86" s="206"/>
      <c r="B86" s="220"/>
      <c r="C86" s="206"/>
      <c r="D86" s="206"/>
      <c r="E86" s="206"/>
      <c r="F86" s="17"/>
      <c r="G86" s="17"/>
    </row>
    <row r="87" spans="1:7" s="9" customFormat="1" x14ac:dyDescent="0.3">
      <c r="A87" s="206"/>
      <c r="B87" s="220"/>
      <c r="C87" s="206"/>
      <c r="D87" s="206"/>
      <c r="E87" s="206"/>
      <c r="F87" s="17"/>
      <c r="G87" s="17"/>
    </row>
    <row r="88" spans="1:7" s="9" customFormat="1" x14ac:dyDescent="0.3">
      <c r="A88" s="206"/>
      <c r="B88" s="220"/>
      <c r="C88" s="206"/>
      <c r="D88" s="206"/>
      <c r="E88" s="206"/>
      <c r="F88" s="17"/>
      <c r="G88" s="17"/>
    </row>
    <row r="89" spans="1:7" s="9" customFormat="1" x14ac:dyDescent="0.3">
      <c r="A89" s="206"/>
      <c r="B89" s="220"/>
      <c r="C89" s="206"/>
      <c r="D89" s="206"/>
      <c r="E89" s="206"/>
      <c r="F89" s="17"/>
      <c r="G89" s="17"/>
    </row>
    <row r="90" spans="1:7" s="9" customFormat="1" x14ac:dyDescent="0.3">
      <c r="A90" s="206"/>
      <c r="B90" s="220"/>
      <c r="C90" s="206"/>
      <c r="D90" s="206"/>
      <c r="E90" s="206"/>
      <c r="F90" s="17"/>
      <c r="G90" s="17"/>
    </row>
    <row r="91" spans="1:7" s="9" customFormat="1" x14ac:dyDescent="0.3">
      <c r="A91" s="206"/>
      <c r="B91" s="220"/>
      <c r="C91" s="206"/>
      <c r="D91" s="206"/>
      <c r="E91" s="206"/>
      <c r="F91" s="17"/>
      <c r="G91" s="17"/>
    </row>
    <row r="92" spans="1:7" s="9" customFormat="1" x14ac:dyDescent="0.3">
      <c r="A92" s="206"/>
      <c r="B92" s="220"/>
      <c r="C92" s="206"/>
      <c r="D92" s="206"/>
      <c r="E92" s="206"/>
      <c r="F92" s="17"/>
      <c r="G92" s="17"/>
    </row>
    <row r="93" spans="1:7" s="9" customFormat="1" x14ac:dyDescent="0.3">
      <c r="A93" s="206"/>
      <c r="B93" s="220"/>
      <c r="C93" s="206"/>
      <c r="D93" s="206"/>
      <c r="E93" s="206"/>
      <c r="F93" s="17"/>
      <c r="G93" s="17"/>
    </row>
    <row r="94" spans="1:7" s="9" customFormat="1" x14ac:dyDescent="0.3">
      <c r="A94" s="206"/>
      <c r="B94" s="220"/>
      <c r="C94" s="206"/>
      <c r="D94" s="206"/>
      <c r="E94" s="206"/>
      <c r="F94" s="17"/>
      <c r="G94" s="17"/>
    </row>
    <row r="95" spans="1:7" s="9" customFormat="1" x14ac:dyDescent="0.3">
      <c r="A95" s="206"/>
      <c r="B95" s="220"/>
      <c r="C95" s="206"/>
      <c r="D95" s="206"/>
      <c r="E95" s="206"/>
      <c r="F95" s="17"/>
      <c r="G95" s="17"/>
    </row>
    <row r="96" spans="1:7" s="9" customFormat="1" x14ac:dyDescent="0.3">
      <c r="A96" s="206"/>
      <c r="B96" s="220"/>
      <c r="C96" s="206"/>
      <c r="D96" s="206"/>
      <c r="E96" s="206"/>
      <c r="F96" s="17"/>
      <c r="G96" s="17"/>
    </row>
    <row r="97" spans="1:7" s="9" customFormat="1" x14ac:dyDescent="0.3">
      <c r="A97" s="206"/>
      <c r="B97" s="220"/>
      <c r="C97" s="206"/>
      <c r="D97" s="206"/>
      <c r="E97" s="206"/>
      <c r="F97" s="17"/>
      <c r="G97" s="17"/>
    </row>
    <row r="98" spans="1:7" s="9" customFormat="1" x14ac:dyDescent="0.3">
      <c r="A98" s="206"/>
      <c r="B98" s="220"/>
      <c r="C98" s="206"/>
      <c r="D98" s="206"/>
      <c r="E98" s="206"/>
      <c r="F98" s="17"/>
      <c r="G98" s="17"/>
    </row>
    <row r="99" spans="1:7" s="9" customFormat="1" x14ac:dyDescent="0.3">
      <c r="A99" s="206"/>
      <c r="B99" s="220"/>
      <c r="C99" s="206"/>
      <c r="D99" s="206"/>
      <c r="E99" s="206"/>
      <c r="F99" s="17"/>
      <c r="G99" s="17"/>
    </row>
    <row r="100" spans="1:7" s="9" customFormat="1" x14ac:dyDescent="0.3">
      <c r="A100" s="206"/>
      <c r="B100" s="220"/>
      <c r="C100" s="206"/>
      <c r="D100" s="206"/>
      <c r="E100" s="206"/>
      <c r="F100" s="17"/>
      <c r="G100" s="17"/>
    </row>
    <row r="101" spans="1:7" s="9" customFormat="1" x14ac:dyDescent="0.3">
      <c r="A101" s="206"/>
      <c r="B101" s="220"/>
      <c r="C101" s="206"/>
      <c r="D101" s="206"/>
      <c r="E101" s="206"/>
      <c r="F101" s="17"/>
      <c r="G101" s="17"/>
    </row>
    <row r="102" spans="1:7" s="9" customFormat="1" x14ac:dyDescent="0.3">
      <c r="A102" s="206"/>
      <c r="B102" s="220"/>
      <c r="C102" s="206"/>
      <c r="D102" s="206"/>
      <c r="E102" s="206"/>
      <c r="F102" s="17"/>
      <c r="G102" s="17"/>
    </row>
    <row r="103" spans="1:7" s="9" customFormat="1" x14ac:dyDescent="0.3">
      <c r="A103" s="206"/>
      <c r="B103" s="220"/>
      <c r="C103" s="206"/>
      <c r="D103" s="206"/>
      <c r="E103" s="206"/>
      <c r="F103" s="17"/>
      <c r="G103" s="17"/>
    </row>
    <row r="104" spans="1:7" s="9" customFormat="1" x14ac:dyDescent="0.3">
      <c r="A104" s="206"/>
      <c r="B104" s="220"/>
      <c r="C104" s="206"/>
      <c r="D104" s="206"/>
      <c r="E104" s="206"/>
      <c r="F104" s="17"/>
      <c r="G104" s="17"/>
    </row>
    <row r="105" spans="1:7" s="9" customFormat="1" x14ac:dyDescent="0.3">
      <c r="A105" s="206"/>
      <c r="B105" s="220"/>
      <c r="C105" s="206"/>
      <c r="D105" s="206"/>
      <c r="E105" s="206"/>
      <c r="F105" s="17"/>
      <c r="G105" s="17"/>
    </row>
    <row r="106" spans="1:7" s="9" customFormat="1" x14ac:dyDescent="0.3">
      <c r="A106" s="206"/>
      <c r="B106" s="220"/>
      <c r="C106" s="206"/>
      <c r="D106" s="206"/>
      <c r="E106" s="206"/>
      <c r="F106" s="17"/>
      <c r="G106" s="17"/>
    </row>
    <row r="107" spans="1:7" s="9" customFormat="1" x14ac:dyDescent="0.3">
      <c r="A107" s="206"/>
      <c r="B107" s="220"/>
      <c r="C107" s="206"/>
      <c r="D107" s="206"/>
      <c r="E107" s="206"/>
      <c r="F107" s="17"/>
      <c r="G107" s="17"/>
    </row>
    <row r="108" spans="1:7" s="9" customFormat="1" x14ac:dyDescent="0.3">
      <c r="A108" s="206"/>
      <c r="B108" s="220"/>
      <c r="C108" s="206"/>
      <c r="D108" s="206"/>
      <c r="E108" s="206"/>
      <c r="F108" s="17"/>
      <c r="G108" s="17"/>
    </row>
    <row r="109" spans="1:7" s="9" customFormat="1" x14ac:dyDescent="0.3">
      <c r="A109" s="206"/>
      <c r="B109" s="220"/>
      <c r="C109" s="206"/>
      <c r="D109" s="206"/>
      <c r="E109" s="206"/>
      <c r="F109" s="17"/>
      <c r="G109" s="17"/>
    </row>
    <row r="110" spans="1:7" s="9" customFormat="1" x14ac:dyDescent="0.3">
      <c r="A110" s="206"/>
      <c r="B110" s="220"/>
      <c r="C110" s="206"/>
      <c r="D110" s="206"/>
      <c r="E110" s="206"/>
      <c r="F110" s="17"/>
      <c r="G110" s="17"/>
    </row>
    <row r="111" spans="1:7" s="9" customFormat="1" x14ac:dyDescent="0.3">
      <c r="A111" s="206"/>
      <c r="B111" s="220"/>
      <c r="C111" s="206"/>
      <c r="D111" s="206"/>
      <c r="E111" s="206"/>
      <c r="F111" s="17"/>
      <c r="G111" s="17"/>
    </row>
    <row r="112" spans="1:7" s="9" customFormat="1" x14ac:dyDescent="0.3">
      <c r="A112" s="206"/>
      <c r="B112" s="220"/>
      <c r="C112" s="206"/>
      <c r="D112" s="206"/>
      <c r="E112" s="206"/>
      <c r="F112" s="17"/>
      <c r="G112" s="17"/>
    </row>
    <row r="113" spans="1:7" s="9" customFormat="1" x14ac:dyDescent="0.3">
      <c r="A113" s="206"/>
      <c r="B113" s="220"/>
      <c r="C113" s="206"/>
      <c r="D113" s="206"/>
      <c r="E113" s="206"/>
      <c r="F113" s="17"/>
      <c r="G113" s="17"/>
    </row>
    <row r="114" spans="1:7" s="9" customFormat="1" x14ac:dyDescent="0.3">
      <c r="A114" s="206"/>
      <c r="B114" s="220"/>
      <c r="C114" s="206"/>
      <c r="D114" s="206"/>
      <c r="E114" s="206"/>
      <c r="F114" s="17"/>
      <c r="G114" s="17"/>
    </row>
    <row r="115" spans="1:7" s="9" customFormat="1" x14ac:dyDescent="0.3">
      <c r="A115" s="206"/>
      <c r="B115" s="220"/>
      <c r="C115" s="206"/>
      <c r="D115" s="206"/>
      <c r="E115" s="206"/>
      <c r="F115" s="17"/>
      <c r="G115" s="17"/>
    </row>
    <row r="116" spans="1:7" s="9" customFormat="1" x14ac:dyDescent="0.3">
      <c r="A116" s="206"/>
      <c r="B116" s="220"/>
      <c r="C116" s="206"/>
      <c r="D116" s="206"/>
      <c r="E116" s="206"/>
      <c r="F116" s="17"/>
      <c r="G116" s="17"/>
    </row>
    <row r="117" spans="1:7" s="9" customFormat="1" x14ac:dyDescent="0.3">
      <c r="A117" s="206"/>
      <c r="B117" s="220"/>
      <c r="C117" s="206"/>
      <c r="D117" s="206"/>
      <c r="E117" s="206"/>
      <c r="F117" s="17"/>
      <c r="G117" s="17"/>
    </row>
    <row r="118" spans="1:7" s="9" customFormat="1" x14ac:dyDescent="0.3">
      <c r="A118" s="206"/>
      <c r="B118" s="220"/>
      <c r="C118" s="206"/>
      <c r="D118" s="206"/>
      <c r="E118" s="206"/>
      <c r="F118" s="17"/>
      <c r="G118" s="17"/>
    </row>
    <row r="119" spans="1:7" s="9" customFormat="1" x14ac:dyDescent="0.3">
      <c r="A119" s="206"/>
      <c r="B119" s="220"/>
      <c r="C119" s="206"/>
      <c r="D119" s="206"/>
      <c r="E119" s="206"/>
      <c r="F119" s="17"/>
      <c r="G119" s="17"/>
    </row>
  </sheetData>
  <autoFilter ref="A9:G54" xr:uid="{ECF227D5-3910-4768-9BE7-A0E16828E1CC}">
    <filterColumn colId="4">
      <filters>
        <filter val="EX"/>
      </filters>
    </filterColumn>
    <sortState xmlns:xlrd2="http://schemas.microsoft.com/office/spreadsheetml/2017/richdata2" ref="A10:G51">
      <sortCondition ref="E9:E50"/>
    </sortState>
  </autoFilter>
  <mergeCells count="1">
    <mergeCell ref="A6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446C-3C3A-4621-B680-DF215DCF0B1D}">
  <dimension ref="A1:AB337"/>
  <sheetViews>
    <sheetView topLeftCell="A40" zoomScale="80" zoomScaleNormal="80" workbookViewId="0">
      <selection activeCell="G95" sqref="G95"/>
    </sheetView>
  </sheetViews>
  <sheetFormatPr baseColWidth="10" defaultRowHeight="14.4" x14ac:dyDescent="0.3"/>
  <cols>
    <col min="1" max="1" width="54.109375" bestFit="1" customWidth="1"/>
    <col min="2" max="2" width="34.5546875" bestFit="1" customWidth="1"/>
    <col min="3" max="3" width="28.33203125" customWidth="1"/>
    <col min="4" max="5" width="23.88671875" customWidth="1"/>
    <col min="6" max="6" width="28.5546875" bestFit="1" customWidth="1"/>
    <col min="7" max="7" width="28.6640625" customWidth="1"/>
    <col min="8" max="8" width="23.109375" bestFit="1" customWidth="1"/>
    <col min="9" max="9" width="20.5546875" bestFit="1" customWidth="1"/>
    <col min="10" max="10" width="20.5546875" customWidth="1"/>
    <col min="11" max="11" width="27.109375" customWidth="1"/>
    <col min="12" max="12" width="20.5546875" bestFit="1" customWidth="1"/>
    <col min="13" max="13" width="26" bestFit="1" customWidth="1"/>
    <col min="14" max="14" width="21.44140625" customWidth="1"/>
  </cols>
  <sheetData>
    <row r="1" spans="1:21" s="9" customFormat="1" ht="15" thickBot="1" x14ac:dyDescent="0.35">
      <c r="A1" s="54" t="s">
        <v>318</v>
      </c>
      <c r="B1" s="54"/>
      <c r="C1" s="54"/>
      <c r="D1" s="54"/>
      <c r="E1" s="54"/>
      <c r="F1" s="54"/>
      <c r="G1" s="54"/>
      <c r="H1" s="54"/>
      <c r="I1" s="33"/>
      <c r="J1" s="33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1" s="9" customFormat="1" ht="15" thickBot="1" x14ac:dyDescent="0.35">
      <c r="A2" s="10" t="s">
        <v>10</v>
      </c>
      <c r="B2" s="10"/>
      <c r="C2" s="11" t="s">
        <v>11</v>
      </c>
      <c r="D2" s="11" t="s">
        <v>12</v>
      </c>
      <c r="E2" s="34"/>
      <c r="F2" s="34"/>
      <c r="G2" s="34"/>
      <c r="S2" s="37"/>
      <c r="T2" s="37"/>
    </row>
    <row r="3" spans="1:21" s="9" customFormat="1" x14ac:dyDescent="0.3">
      <c r="A3" s="12">
        <v>1</v>
      </c>
      <c r="B3" s="12"/>
      <c r="C3" s="13">
        <v>1</v>
      </c>
      <c r="D3" s="13"/>
      <c r="E3" s="34"/>
      <c r="F3" s="34"/>
      <c r="G3" s="34"/>
      <c r="S3" s="37"/>
      <c r="T3" s="37"/>
    </row>
    <row r="4" spans="1:21" s="9" customFormat="1" ht="15" thickBot="1" x14ac:dyDescent="0.35">
      <c r="A4" s="29"/>
      <c r="B4" s="29"/>
      <c r="C4" s="127"/>
      <c r="D4" s="127"/>
      <c r="E4" s="34"/>
      <c r="F4" s="34"/>
      <c r="G4" s="34"/>
      <c r="S4" s="37"/>
      <c r="T4" s="37"/>
    </row>
    <row r="5" spans="1:21" s="9" customFormat="1" ht="15" thickBot="1" x14ac:dyDescent="0.35">
      <c r="A5" s="10" t="s">
        <v>315</v>
      </c>
      <c r="B5" s="10" t="s">
        <v>242</v>
      </c>
      <c r="C5" s="11" t="s">
        <v>243</v>
      </c>
      <c r="D5" s="228" t="s">
        <v>339</v>
      </c>
      <c r="E5" s="11" t="s">
        <v>5</v>
      </c>
      <c r="F5" s="34"/>
      <c r="G5" s="34"/>
      <c r="S5" s="37"/>
      <c r="T5" s="37"/>
    </row>
    <row r="6" spans="1:21" s="9" customFormat="1" x14ac:dyDescent="0.3">
      <c r="A6" s="12">
        <f>GUIALOG!$P$55</f>
        <v>123590</v>
      </c>
      <c r="B6" s="12">
        <f>GUIALOG!$P$88</f>
        <v>3</v>
      </c>
      <c r="C6" s="12" t="str">
        <f>GUIALOG!$P$89</f>
        <v>Embalaje URe</v>
      </c>
      <c r="D6" s="229" t="str">
        <f>GUIALOG!P113</f>
        <v>FTL 53´</v>
      </c>
      <c r="E6" s="13" t="str">
        <f>GUIALOG!P110</f>
        <v>UR</v>
      </c>
      <c r="F6" s="34"/>
      <c r="G6" s="34"/>
      <c r="S6" s="37"/>
      <c r="T6" s="37"/>
    </row>
    <row r="7" spans="1:21" s="9" customFormat="1" x14ac:dyDescent="0.3">
      <c r="A7" s="29"/>
      <c r="B7" s="29"/>
      <c r="C7" s="127"/>
      <c r="D7" s="127"/>
      <c r="E7" s="34"/>
      <c r="F7" s="34"/>
      <c r="G7" s="34"/>
      <c r="S7" s="37"/>
      <c r="T7" s="37"/>
    </row>
    <row r="8" spans="1:21" s="9" customFormat="1" ht="15" thickBot="1" x14ac:dyDescent="0.35">
      <c r="A8" s="29"/>
      <c r="B8" s="29"/>
      <c r="C8" s="29"/>
      <c r="D8" s="29"/>
      <c r="E8" s="34"/>
      <c r="F8" s="34"/>
      <c r="G8" s="34"/>
      <c r="S8" s="37"/>
      <c r="T8" s="37"/>
    </row>
    <row r="9" spans="1:21" s="39" customFormat="1" ht="15" thickBot="1" x14ac:dyDescent="0.35">
      <c r="A9" s="432" t="s">
        <v>355</v>
      </c>
      <c r="B9" s="433"/>
      <c r="C9" s="433"/>
      <c r="D9" s="433"/>
      <c r="E9" s="434"/>
      <c r="F9" s="35"/>
      <c r="G9" s="35"/>
      <c r="H9" s="34"/>
      <c r="I9" s="35"/>
    </row>
    <row r="10" spans="1:21" s="39" customFormat="1" x14ac:dyDescent="0.3">
      <c r="A10" s="230" t="s">
        <v>6</v>
      </c>
      <c r="B10" s="231" t="s">
        <v>200</v>
      </c>
      <c r="C10" s="231" t="s">
        <v>194</v>
      </c>
      <c r="D10" s="231" t="s">
        <v>194</v>
      </c>
      <c r="E10" s="230" t="s">
        <v>199</v>
      </c>
      <c r="F10" s="35"/>
      <c r="G10" s="35"/>
      <c r="H10" s="34"/>
      <c r="I10" s="35"/>
    </row>
    <row r="11" spans="1:21" s="39" customFormat="1" ht="15" thickBot="1" x14ac:dyDescent="0.35">
      <c r="A11" s="232"/>
      <c r="B11" s="232" t="s">
        <v>200</v>
      </c>
      <c r="C11" s="232" t="s">
        <v>194</v>
      </c>
      <c r="D11" s="232" t="s">
        <v>194</v>
      </c>
      <c r="E11" s="232"/>
      <c r="F11" s="35"/>
      <c r="G11" s="35"/>
      <c r="H11" s="34"/>
      <c r="I11" s="35"/>
    </row>
    <row r="12" spans="1:21" s="39" customFormat="1" x14ac:dyDescent="0.3">
      <c r="A12" s="57" t="s">
        <v>29</v>
      </c>
      <c r="B12" s="73" t="s">
        <v>151</v>
      </c>
      <c r="C12" s="233" t="s">
        <v>219</v>
      </c>
      <c r="D12" s="58" t="s">
        <v>195</v>
      </c>
      <c r="E12" s="234">
        <f t="shared" ref="E12:E21" si="0">G29</f>
        <v>400</v>
      </c>
      <c r="F12" s="35"/>
      <c r="G12" s="35"/>
      <c r="H12" s="34"/>
      <c r="I12" s="35"/>
    </row>
    <row r="13" spans="1:21" s="39" customFormat="1" x14ac:dyDescent="0.3">
      <c r="A13" s="57" t="s">
        <v>31</v>
      </c>
      <c r="B13" s="73" t="s">
        <v>152</v>
      </c>
      <c r="C13" s="74" t="s">
        <v>220</v>
      </c>
      <c r="D13" s="58">
        <v>1780</v>
      </c>
      <c r="E13" s="235">
        <f t="shared" si="0"/>
        <v>700</v>
      </c>
      <c r="F13" s="35"/>
      <c r="G13" s="35"/>
      <c r="H13" s="34"/>
      <c r="I13" s="35"/>
    </row>
    <row r="14" spans="1:21" s="35" customFormat="1" x14ac:dyDescent="0.3">
      <c r="A14" s="57" t="s">
        <v>33</v>
      </c>
      <c r="B14" s="73" t="s">
        <v>153</v>
      </c>
      <c r="C14" s="74" t="s">
        <v>217</v>
      </c>
      <c r="D14" s="58" t="s">
        <v>196</v>
      </c>
      <c r="E14" s="235">
        <f t="shared" si="0"/>
        <v>400</v>
      </c>
      <c r="H14" s="34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spans="1:21" s="35" customFormat="1" x14ac:dyDescent="0.3">
      <c r="A15" s="57" t="s">
        <v>35</v>
      </c>
      <c r="B15" s="73" t="s">
        <v>154</v>
      </c>
      <c r="C15" s="74" t="s">
        <v>212</v>
      </c>
      <c r="D15" s="58" t="s">
        <v>197</v>
      </c>
      <c r="E15" s="235">
        <f t="shared" si="0"/>
        <v>750</v>
      </c>
      <c r="H15" s="34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1" s="35" customFormat="1" x14ac:dyDescent="0.3">
      <c r="A16" s="57" t="s">
        <v>28</v>
      </c>
      <c r="B16" s="73" t="s">
        <v>157</v>
      </c>
      <c r="C16" s="74" t="s">
        <v>222</v>
      </c>
      <c r="D16" s="58" t="s">
        <v>198</v>
      </c>
      <c r="E16" s="235">
        <f t="shared" si="0"/>
        <v>250</v>
      </c>
      <c r="H16" s="34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spans="1:21" s="35" customFormat="1" x14ac:dyDescent="0.3">
      <c r="A17" s="57" t="s">
        <v>38</v>
      </c>
      <c r="B17" s="73" t="s">
        <v>155</v>
      </c>
      <c r="C17" s="74" t="s">
        <v>211</v>
      </c>
      <c r="D17" s="58" t="s">
        <v>198</v>
      </c>
      <c r="E17" s="235">
        <f t="shared" si="0"/>
        <v>250</v>
      </c>
      <c r="H17" s="34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spans="1:21" s="35" customFormat="1" x14ac:dyDescent="0.3">
      <c r="A18" s="57" t="s">
        <v>23</v>
      </c>
      <c r="B18" s="73" t="s">
        <v>156</v>
      </c>
      <c r="C18" s="74" t="s">
        <v>201</v>
      </c>
      <c r="D18" s="58" t="s">
        <v>195</v>
      </c>
      <c r="E18" s="235">
        <f t="shared" si="0"/>
        <v>138.88888888888889</v>
      </c>
      <c r="H18" s="34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s="35" customFormat="1" x14ac:dyDescent="0.3">
      <c r="A19" s="57" t="s">
        <v>32</v>
      </c>
      <c r="B19" s="73" t="s">
        <v>158</v>
      </c>
      <c r="C19" s="74" t="s">
        <v>223</v>
      </c>
      <c r="D19" s="58" t="s">
        <v>197</v>
      </c>
      <c r="E19" s="235">
        <f t="shared" si="0"/>
        <v>138.88888888888889</v>
      </c>
      <c r="H19" s="34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</row>
    <row r="20" spans="1:21" s="35" customFormat="1" x14ac:dyDescent="0.3">
      <c r="A20" s="57" t="s">
        <v>40</v>
      </c>
      <c r="B20" s="73" t="s">
        <v>159</v>
      </c>
      <c r="C20" s="74" t="s">
        <v>224</v>
      </c>
      <c r="D20" s="58" t="s">
        <v>198</v>
      </c>
      <c r="E20" s="235">
        <f t="shared" si="0"/>
        <v>500</v>
      </c>
      <c r="H20" s="34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 spans="1:21" s="35" customFormat="1" ht="15" thickBot="1" x14ac:dyDescent="0.35">
      <c r="A21" s="59" t="s">
        <v>41</v>
      </c>
      <c r="B21" s="75" t="s">
        <v>160</v>
      </c>
      <c r="C21" s="76" t="s">
        <v>225</v>
      </c>
      <c r="D21" s="77" t="s">
        <v>206</v>
      </c>
      <c r="E21" s="236">
        <f t="shared" si="0"/>
        <v>500</v>
      </c>
      <c r="H21" s="34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1" s="9" customFormat="1" x14ac:dyDescent="0.3">
      <c r="A22" s="29"/>
      <c r="B22" s="29"/>
      <c r="C22" s="29"/>
      <c r="D22" s="29"/>
      <c r="E22" s="34"/>
      <c r="F22" s="34"/>
      <c r="G22" s="34"/>
      <c r="S22" s="37"/>
      <c r="T22" s="37"/>
    </row>
    <row r="23" spans="1:21" s="9" customFormat="1" ht="15" thickBot="1" x14ac:dyDescent="0.35">
      <c r="A23" s="29"/>
      <c r="B23" s="29"/>
      <c r="C23" s="29"/>
      <c r="D23" s="29"/>
      <c r="E23" s="34"/>
      <c r="F23" s="34"/>
      <c r="G23" s="34"/>
      <c r="S23" s="37"/>
      <c r="T23" s="37"/>
    </row>
    <row r="24" spans="1:21" ht="15" thickBot="1" x14ac:dyDescent="0.35">
      <c r="A24" s="110" t="s">
        <v>316</v>
      </c>
      <c r="B24" s="111"/>
      <c r="C24" s="111"/>
      <c r="D24" s="111"/>
      <c r="E24" s="111"/>
      <c r="F24" s="111"/>
      <c r="G24" s="112"/>
    </row>
    <row r="25" spans="1:21" ht="28.2" thickBot="1" x14ac:dyDescent="0.35">
      <c r="A25" s="237" t="s">
        <v>6</v>
      </c>
      <c r="B25" s="237" t="s">
        <v>194</v>
      </c>
      <c r="C25" s="237" t="s">
        <v>300</v>
      </c>
      <c r="D25" s="237" t="s">
        <v>301</v>
      </c>
      <c r="E25" s="237" t="s">
        <v>302</v>
      </c>
      <c r="F25" s="237" t="s">
        <v>303</v>
      </c>
      <c r="G25" s="196" t="s">
        <v>319</v>
      </c>
    </row>
    <row r="26" spans="1:21" x14ac:dyDescent="0.3">
      <c r="A26" s="238" t="s">
        <v>22</v>
      </c>
      <c r="B26" s="239"/>
      <c r="C26" s="239" t="s">
        <v>360</v>
      </c>
      <c r="D26" s="239" t="s">
        <v>359</v>
      </c>
      <c r="E26" s="239" t="s">
        <v>361</v>
      </c>
      <c r="F26" s="240"/>
      <c r="G26" s="240"/>
    </row>
    <row r="27" spans="1:21" x14ac:dyDescent="0.3">
      <c r="A27" s="241" t="s">
        <v>24</v>
      </c>
      <c r="B27" s="242"/>
      <c r="C27" s="242" t="s">
        <v>353</v>
      </c>
      <c r="D27" s="242" t="s">
        <v>351</v>
      </c>
      <c r="E27" s="242" t="s">
        <v>352</v>
      </c>
      <c r="F27" s="243"/>
      <c r="G27" s="243"/>
    </row>
    <row r="28" spans="1:21" ht="15" thickBot="1" x14ac:dyDescent="0.35">
      <c r="A28" s="244" t="s">
        <v>26</v>
      </c>
      <c r="B28" s="245"/>
      <c r="C28" s="245" t="s">
        <v>356</v>
      </c>
      <c r="D28" s="245" t="s">
        <v>357</v>
      </c>
      <c r="E28" s="245" t="s">
        <v>358</v>
      </c>
      <c r="F28" s="246"/>
      <c r="G28" s="246"/>
    </row>
    <row r="29" spans="1:21" x14ac:dyDescent="0.3">
      <c r="A29" s="247" t="s">
        <v>29</v>
      </c>
      <c r="B29" s="248" t="s">
        <v>195</v>
      </c>
      <c r="C29" s="249">
        <v>200</v>
      </c>
      <c r="D29" s="249">
        <v>250</v>
      </c>
      <c r="E29" s="249">
        <v>400</v>
      </c>
      <c r="F29" s="250">
        <v>165</v>
      </c>
      <c r="G29" s="251">
        <f>IF($C$6&lt;1000,C29,IF(AND($C$6&gt;999,$C$6&lt;2000),D29,E29))</f>
        <v>400</v>
      </c>
    </row>
    <row r="30" spans="1:21" x14ac:dyDescent="0.3">
      <c r="A30" s="252" t="s">
        <v>31</v>
      </c>
      <c r="B30" s="253">
        <v>1780</v>
      </c>
      <c r="C30" s="254">
        <v>400</v>
      </c>
      <c r="D30" s="254">
        <v>550</v>
      </c>
      <c r="E30" s="254">
        <v>700</v>
      </c>
      <c r="F30" s="255">
        <v>165</v>
      </c>
      <c r="G30" s="251">
        <f t="shared" ref="G30:G38" si="1">IF($C$6&lt;1000,C30,IF(AND($C$6&gt;999,$C$6&lt;2000),D30,E30))</f>
        <v>700</v>
      </c>
    </row>
    <row r="31" spans="1:21" x14ac:dyDescent="0.3">
      <c r="A31" s="252" t="s">
        <v>33</v>
      </c>
      <c r="B31" s="253" t="s">
        <v>196</v>
      </c>
      <c r="C31" s="249">
        <v>200</v>
      </c>
      <c r="D31" s="249">
        <v>250</v>
      </c>
      <c r="E31" s="249">
        <v>400</v>
      </c>
      <c r="F31" s="255">
        <v>165</v>
      </c>
      <c r="G31" s="251">
        <f t="shared" si="1"/>
        <v>400</v>
      </c>
    </row>
    <row r="32" spans="1:21" x14ac:dyDescent="0.3">
      <c r="A32" s="252" t="s">
        <v>35</v>
      </c>
      <c r="B32" s="253" t="s">
        <v>197</v>
      </c>
      <c r="C32" s="254">
        <v>230</v>
      </c>
      <c r="D32" s="254">
        <v>350</v>
      </c>
      <c r="E32" s="254">
        <v>750</v>
      </c>
      <c r="F32" s="255">
        <v>295</v>
      </c>
      <c r="G32" s="251">
        <f t="shared" si="1"/>
        <v>750</v>
      </c>
    </row>
    <row r="33" spans="1:21" x14ac:dyDescent="0.3">
      <c r="A33" s="252" t="s">
        <v>28</v>
      </c>
      <c r="B33" s="253" t="s">
        <v>198</v>
      </c>
      <c r="C33" s="254">
        <v>138.88888888888889</v>
      </c>
      <c r="D33" s="254">
        <v>194.44444444444446</v>
      </c>
      <c r="E33" s="254">
        <v>250</v>
      </c>
      <c r="F33" s="255">
        <v>0</v>
      </c>
      <c r="G33" s="251">
        <f t="shared" si="1"/>
        <v>250</v>
      </c>
      <c r="I33" s="256"/>
      <c r="J33" s="256"/>
      <c r="K33" s="256"/>
    </row>
    <row r="34" spans="1:21" x14ac:dyDescent="0.3">
      <c r="A34" s="252" t="s">
        <v>38</v>
      </c>
      <c r="B34" s="253" t="s">
        <v>198</v>
      </c>
      <c r="C34" s="254">
        <v>138.88888888888889</v>
      </c>
      <c r="D34" s="254">
        <v>194.44444444444446</v>
      </c>
      <c r="E34" s="254">
        <v>250</v>
      </c>
      <c r="F34" s="255">
        <v>0</v>
      </c>
      <c r="G34" s="251">
        <f t="shared" si="1"/>
        <v>250</v>
      </c>
      <c r="I34" s="256"/>
      <c r="J34" s="256"/>
      <c r="K34" s="256"/>
    </row>
    <row r="35" spans="1:21" x14ac:dyDescent="0.3">
      <c r="A35" s="252" t="s">
        <v>23</v>
      </c>
      <c r="B35" s="253" t="s">
        <v>195</v>
      </c>
      <c r="C35" s="254">
        <v>61.111111111111114</v>
      </c>
      <c r="D35" s="254">
        <v>105.55555555555556</v>
      </c>
      <c r="E35" s="254">
        <v>138.88888888888889</v>
      </c>
      <c r="F35" s="255">
        <v>0</v>
      </c>
      <c r="G35" s="251">
        <f t="shared" si="1"/>
        <v>138.88888888888889</v>
      </c>
      <c r="I35" s="256"/>
      <c r="J35" s="256"/>
      <c r="K35" s="256"/>
    </row>
    <row r="36" spans="1:21" x14ac:dyDescent="0.3">
      <c r="A36" s="252" t="s">
        <v>32</v>
      </c>
      <c r="B36" s="253" t="s">
        <v>197</v>
      </c>
      <c r="C36" s="254">
        <v>61.111111111111114</v>
      </c>
      <c r="D36" s="254">
        <v>105.55555555555556</v>
      </c>
      <c r="E36" s="254">
        <v>138.88888888888889</v>
      </c>
      <c r="F36" s="255">
        <v>0</v>
      </c>
      <c r="G36" s="251">
        <f t="shared" si="1"/>
        <v>138.88888888888889</v>
      </c>
      <c r="I36" s="256"/>
      <c r="J36" s="256"/>
      <c r="K36" s="256"/>
    </row>
    <row r="37" spans="1:21" x14ac:dyDescent="0.3">
      <c r="A37" s="252" t="s">
        <v>40</v>
      </c>
      <c r="B37" s="253" t="s">
        <v>198</v>
      </c>
      <c r="C37" s="254">
        <f>5000/18</f>
        <v>277.77777777777777</v>
      </c>
      <c r="D37" s="254">
        <f>7000/18</f>
        <v>388.88888888888891</v>
      </c>
      <c r="E37" s="254">
        <f>9000/18</f>
        <v>500</v>
      </c>
      <c r="F37" s="255">
        <v>0</v>
      </c>
      <c r="G37" s="251">
        <f t="shared" si="1"/>
        <v>500</v>
      </c>
    </row>
    <row r="38" spans="1:21" x14ac:dyDescent="0.3">
      <c r="A38" s="252" t="s">
        <v>41</v>
      </c>
      <c r="B38" s="253" t="s">
        <v>206</v>
      </c>
      <c r="C38" s="254">
        <f>5000/18</f>
        <v>277.77777777777777</v>
      </c>
      <c r="D38" s="254">
        <f>7000/18</f>
        <v>388.88888888888891</v>
      </c>
      <c r="E38" s="254">
        <f>9000/18</f>
        <v>500</v>
      </c>
      <c r="F38" s="257">
        <v>0</v>
      </c>
      <c r="G38" s="251">
        <f t="shared" si="1"/>
        <v>500</v>
      </c>
    </row>
    <row r="39" spans="1:21" ht="15" customHeight="1" x14ac:dyDescent="0.3"/>
    <row r="41" spans="1:21" ht="15" thickBot="1" x14ac:dyDescent="0.35"/>
    <row r="42" spans="1:21" s="39" customFormat="1" ht="15" thickBot="1" x14ac:dyDescent="0.35">
      <c r="A42" s="432" t="s">
        <v>354</v>
      </c>
      <c r="B42" s="433"/>
      <c r="C42" s="433"/>
      <c r="D42" s="433"/>
      <c r="E42" s="434"/>
      <c r="F42" s="35"/>
      <c r="G42" s="35"/>
      <c r="H42" s="34"/>
      <c r="I42" s="35"/>
    </row>
    <row r="43" spans="1:21" s="39" customFormat="1" x14ac:dyDescent="0.3">
      <c r="A43" s="230" t="s">
        <v>6</v>
      </c>
      <c r="B43" s="231" t="s">
        <v>200</v>
      </c>
      <c r="C43" s="231" t="s">
        <v>194</v>
      </c>
      <c r="D43" s="231" t="s">
        <v>194</v>
      </c>
      <c r="E43" s="230" t="s">
        <v>199</v>
      </c>
      <c r="F43" s="35"/>
      <c r="G43" s="35"/>
      <c r="H43" s="34"/>
      <c r="I43" s="35"/>
    </row>
    <row r="44" spans="1:21" s="39" customFormat="1" ht="15" thickBot="1" x14ac:dyDescent="0.35">
      <c r="A44" s="232"/>
      <c r="B44" s="232" t="s">
        <v>200</v>
      </c>
      <c r="C44" s="232" t="s">
        <v>194</v>
      </c>
      <c r="D44" s="232" t="s">
        <v>194</v>
      </c>
      <c r="E44" s="232"/>
      <c r="F44" s="35"/>
      <c r="G44" s="35"/>
      <c r="H44" s="34"/>
      <c r="I44" s="35"/>
    </row>
    <row r="45" spans="1:21" s="39" customFormat="1" x14ac:dyDescent="0.3">
      <c r="A45" s="57" t="s">
        <v>29</v>
      </c>
      <c r="B45" s="73" t="s">
        <v>151</v>
      </c>
      <c r="C45" s="233" t="s">
        <v>219</v>
      </c>
      <c r="D45" s="58" t="s">
        <v>195</v>
      </c>
      <c r="E45" s="234">
        <f>(0.0035*$A$6)+40+80</f>
        <v>552.56500000000005</v>
      </c>
      <c r="F45" s="35"/>
      <c r="G45" s="35"/>
      <c r="H45" s="34"/>
      <c r="I45" s="35"/>
    </row>
    <row r="46" spans="1:21" s="39" customFormat="1" x14ac:dyDescent="0.3">
      <c r="A46" s="57" t="s">
        <v>31</v>
      </c>
      <c r="B46" s="73" t="s">
        <v>152</v>
      </c>
      <c r="C46" s="74" t="s">
        <v>220</v>
      </c>
      <c r="D46" s="58">
        <v>1780</v>
      </c>
      <c r="E46" s="235">
        <f>(180+(0.0045*$A$6))</f>
        <v>736.15499999999997</v>
      </c>
      <c r="F46" s="35"/>
      <c r="G46" s="35"/>
      <c r="H46" s="34"/>
      <c r="I46" s="35"/>
    </row>
    <row r="47" spans="1:21" s="35" customFormat="1" x14ac:dyDescent="0.3">
      <c r="A47" s="57" t="s">
        <v>33</v>
      </c>
      <c r="B47" s="73" t="s">
        <v>153</v>
      </c>
      <c r="C47" s="74" t="s">
        <v>217</v>
      </c>
      <c r="D47" s="58" t="s">
        <v>196</v>
      </c>
      <c r="E47" s="235">
        <f>($A$6*0.0125)+116</f>
        <v>1660.875</v>
      </c>
      <c r="H47" s="34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</row>
    <row r="48" spans="1:21" s="35" customFormat="1" x14ac:dyDescent="0.3">
      <c r="A48" s="57" t="s">
        <v>35</v>
      </c>
      <c r="B48" s="73" t="s">
        <v>154</v>
      </c>
      <c r="C48" s="74" t="s">
        <v>212</v>
      </c>
      <c r="D48" s="58" t="s">
        <v>197</v>
      </c>
      <c r="E48" s="235">
        <f>IF($A$6&lt;5000,160,IF($A$6&lt;8000,167,IF($A$6&lt;10000,197,IF($A$6&lt;12000,233,IF($A$6&lt;15000,260,IF($A$6&lt;25000,321,($A$6*0.005)))))))</f>
        <v>617.95000000000005</v>
      </c>
      <c r="H48" s="34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</row>
    <row r="49" spans="1:21" s="35" customFormat="1" x14ac:dyDescent="0.3">
      <c r="A49" s="57" t="s">
        <v>28</v>
      </c>
      <c r="B49" s="73" t="s">
        <v>157</v>
      </c>
      <c r="C49" s="74" t="s">
        <v>222</v>
      </c>
      <c r="D49" s="58" t="s">
        <v>198</v>
      </c>
      <c r="E49" s="235">
        <f>180+(0.003*$A$6)+60+60</f>
        <v>670.77</v>
      </c>
      <c r="H49" s="34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</row>
    <row r="50" spans="1:21" s="35" customFormat="1" x14ac:dyDescent="0.3">
      <c r="A50" s="57" t="s">
        <v>38</v>
      </c>
      <c r="B50" s="73" t="s">
        <v>155</v>
      </c>
      <c r="C50" s="74" t="s">
        <v>211</v>
      </c>
      <c r="D50" s="58" t="s">
        <v>198</v>
      </c>
      <c r="E50" s="235">
        <f>180+(0.003*$A$6)+60+60</f>
        <v>670.77</v>
      </c>
      <c r="H50" s="34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</row>
    <row r="51" spans="1:21" s="35" customFormat="1" x14ac:dyDescent="0.3">
      <c r="A51" s="57" t="s">
        <v>23</v>
      </c>
      <c r="B51" s="73" t="s">
        <v>156</v>
      </c>
      <c r="C51" s="74" t="s">
        <v>201</v>
      </c>
      <c r="D51" s="58" t="s">
        <v>195</v>
      </c>
      <c r="E51" s="235">
        <f>(0.006*$A$6)+40+80</f>
        <v>861.54</v>
      </c>
      <c r="H51" s="34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</row>
    <row r="52" spans="1:21" s="35" customFormat="1" x14ac:dyDescent="0.3">
      <c r="A52" s="57" t="s">
        <v>32</v>
      </c>
      <c r="B52" s="73" t="s">
        <v>158</v>
      </c>
      <c r="C52" s="74" t="s">
        <v>223</v>
      </c>
      <c r="D52" s="58" t="s">
        <v>197</v>
      </c>
      <c r="E52" s="235">
        <f>IF($A$6&lt;5000,160,IF($A$6&lt;8000,167,IF($A$6&lt;10000,197,IF($A$6&lt;12000,233,IF($A$6&lt;15000,260,IF($A$6&lt;25000,321,($A$6*0.005)))))))</f>
        <v>617.95000000000005</v>
      </c>
      <c r="H52" s="34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</row>
    <row r="53" spans="1:21" s="35" customFormat="1" x14ac:dyDescent="0.3">
      <c r="A53" s="57" t="s">
        <v>40</v>
      </c>
      <c r="B53" s="73" t="s">
        <v>159</v>
      </c>
      <c r="C53" s="74" t="s">
        <v>224</v>
      </c>
      <c r="D53" s="58" t="s">
        <v>198</v>
      </c>
      <c r="E53" s="235">
        <f>300+(0.003*$A$6)+180+60</f>
        <v>910.77</v>
      </c>
      <c r="H53" s="34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</row>
    <row r="54" spans="1:21" s="35" customFormat="1" ht="15" thickBot="1" x14ac:dyDescent="0.35">
      <c r="A54" s="59" t="s">
        <v>41</v>
      </c>
      <c r="B54" s="75" t="s">
        <v>160</v>
      </c>
      <c r="C54" s="76" t="s">
        <v>225</v>
      </c>
      <c r="D54" s="77" t="s">
        <v>206</v>
      </c>
      <c r="E54" s="236">
        <f>300+(0.003*$A$6)+180+60</f>
        <v>910.77</v>
      </c>
      <c r="H54" s="34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</row>
    <row r="63" spans="1:21" x14ac:dyDescent="0.3">
      <c r="A63" s="258" t="s">
        <v>304</v>
      </c>
      <c r="B63" s="258"/>
      <c r="C63" s="258"/>
      <c r="D63" s="258"/>
    </row>
    <row r="64" spans="1:21" x14ac:dyDescent="0.3">
      <c r="A64" s="259" t="s">
        <v>305</v>
      </c>
      <c r="B64" s="259" t="s">
        <v>306</v>
      </c>
      <c r="C64" s="259" t="s">
        <v>307</v>
      </c>
    </row>
    <row r="65" spans="1:28" x14ac:dyDescent="0.3">
      <c r="A65" s="260" t="s">
        <v>308</v>
      </c>
      <c r="B65" s="1" t="s">
        <v>309</v>
      </c>
      <c r="C65" s="261">
        <v>15000</v>
      </c>
    </row>
    <row r="66" spans="1:28" x14ac:dyDescent="0.3">
      <c r="A66" s="262"/>
      <c r="B66" s="1" t="s">
        <v>310</v>
      </c>
      <c r="C66" s="261">
        <v>650</v>
      </c>
    </row>
    <row r="67" spans="1:28" ht="15" customHeight="1" x14ac:dyDescent="0.3">
      <c r="A67" s="262"/>
      <c r="B67" s="1" t="s">
        <v>311</v>
      </c>
      <c r="C67" s="263">
        <f>C66/C65</f>
        <v>4.3333333333333335E-2</v>
      </c>
    </row>
    <row r="68" spans="1:28" x14ac:dyDescent="0.3">
      <c r="A68" s="262"/>
      <c r="B68" s="1" t="s">
        <v>312</v>
      </c>
      <c r="C68" s="261">
        <v>4200</v>
      </c>
    </row>
    <row r="69" spans="1:28" ht="15" thickBot="1" x14ac:dyDescent="0.35">
      <c r="A69" s="264"/>
      <c r="B69" s="1" t="s">
        <v>313</v>
      </c>
      <c r="C69" s="265">
        <f>C67*C68</f>
        <v>182</v>
      </c>
    </row>
    <row r="70" spans="1:28" s="9" customFormat="1" x14ac:dyDescent="0.3">
      <c r="A70" s="29"/>
      <c r="B70" s="29"/>
      <c r="C70" s="127"/>
      <c r="D70" s="127"/>
      <c r="E70" s="34"/>
      <c r="F70" s="34"/>
      <c r="G70" s="34"/>
      <c r="S70" s="37"/>
      <c r="T70" s="37"/>
    </row>
    <row r="71" spans="1:28" s="9" customFormat="1" ht="15.75" hidden="1" customHeight="1" thickBot="1" x14ac:dyDescent="0.35">
      <c r="A71" s="18" t="s">
        <v>13</v>
      </c>
      <c r="B71" s="14" t="s">
        <v>164</v>
      </c>
      <c r="C71" s="14" t="s">
        <v>15</v>
      </c>
      <c r="D71" s="14" t="s">
        <v>150</v>
      </c>
      <c r="E71" s="14" t="s">
        <v>14</v>
      </c>
      <c r="F71" s="14" t="s">
        <v>205</v>
      </c>
      <c r="G71" s="14" t="s">
        <v>164</v>
      </c>
      <c r="H71" s="34"/>
      <c r="AA71"/>
      <c r="AB71" s="35"/>
    </row>
    <row r="72" spans="1:28" s="9" customFormat="1" ht="15.75" hidden="1" customHeight="1" x14ac:dyDescent="0.3">
      <c r="A72" s="25" t="s">
        <v>21</v>
      </c>
      <c r="B72" s="38">
        <v>1</v>
      </c>
      <c r="C72" s="31" t="s">
        <v>16</v>
      </c>
      <c r="D72" s="40">
        <v>0.01</v>
      </c>
      <c r="E72" s="43" t="s">
        <v>29</v>
      </c>
      <c r="F72" s="41" t="s">
        <v>22</v>
      </c>
      <c r="G72" s="42" t="s">
        <v>0</v>
      </c>
      <c r="H72" s="34"/>
      <c r="AA72"/>
      <c r="AB72" s="35"/>
    </row>
    <row r="73" spans="1:28" s="9" customFormat="1" ht="15" hidden="1" customHeight="1" x14ac:dyDescent="0.3">
      <c r="A73" s="26" t="s">
        <v>23</v>
      </c>
      <c r="B73" s="38">
        <v>1</v>
      </c>
      <c r="C73" s="26" t="s">
        <v>17</v>
      </c>
      <c r="D73" s="40">
        <v>0.02</v>
      </c>
      <c r="E73" s="43" t="s">
        <v>31</v>
      </c>
      <c r="F73" s="43" t="s">
        <v>24</v>
      </c>
      <c r="G73" s="44" t="s">
        <v>161</v>
      </c>
      <c r="H73" s="34"/>
      <c r="AA73"/>
      <c r="AB73" s="35"/>
    </row>
    <row r="74" spans="1:28" s="9" customFormat="1" ht="15" hidden="1" customHeight="1" x14ac:dyDescent="0.3">
      <c r="A74" s="26" t="s">
        <v>25</v>
      </c>
      <c r="B74" s="38">
        <v>2</v>
      </c>
      <c r="C74" s="26" t="s">
        <v>18</v>
      </c>
      <c r="D74" s="40">
        <v>0.03</v>
      </c>
      <c r="E74" s="43" t="s">
        <v>33</v>
      </c>
      <c r="F74" s="43" t="s">
        <v>26</v>
      </c>
      <c r="G74" s="44" t="s">
        <v>162</v>
      </c>
      <c r="H74" s="34"/>
      <c r="AA74"/>
      <c r="AB74" s="35"/>
    </row>
    <row r="75" spans="1:28" s="9" customFormat="1" ht="15" hidden="1" customHeight="1" x14ac:dyDescent="0.3">
      <c r="A75" s="26" t="s">
        <v>27</v>
      </c>
      <c r="B75" s="38">
        <v>2</v>
      </c>
      <c r="C75" s="26" t="s">
        <v>19</v>
      </c>
      <c r="D75" s="40">
        <v>0.04</v>
      </c>
      <c r="E75" s="43" t="s">
        <v>35</v>
      </c>
      <c r="F75" s="45" t="s">
        <v>22</v>
      </c>
      <c r="G75" s="46"/>
      <c r="H75" s="34"/>
      <c r="AA75"/>
      <c r="AB75" s="35"/>
    </row>
    <row r="76" spans="1:28" s="9" customFormat="1" ht="15" hidden="1" customHeight="1" x14ac:dyDescent="0.3">
      <c r="A76" s="26" t="s">
        <v>28</v>
      </c>
      <c r="B76" s="38">
        <v>2</v>
      </c>
      <c r="C76" s="26" t="s">
        <v>20</v>
      </c>
      <c r="D76" s="36">
        <v>0.05</v>
      </c>
      <c r="E76" s="43" t="s">
        <v>28</v>
      </c>
      <c r="F76" s="43" t="s">
        <v>29</v>
      </c>
      <c r="G76" s="44" t="s">
        <v>151</v>
      </c>
      <c r="H76" s="34"/>
      <c r="AA76"/>
      <c r="AB76" s="35"/>
    </row>
    <row r="77" spans="1:28" s="9" customFormat="1" ht="15" hidden="1" customHeight="1" x14ac:dyDescent="0.3">
      <c r="A77" s="26" t="s">
        <v>30</v>
      </c>
      <c r="B77" s="38">
        <v>2</v>
      </c>
      <c r="C77" s="26" t="s">
        <v>165</v>
      </c>
      <c r="D77" s="36">
        <v>0.06</v>
      </c>
      <c r="E77" s="43" t="s">
        <v>38</v>
      </c>
      <c r="F77" s="43" t="s">
        <v>31</v>
      </c>
      <c r="G77" s="44" t="s">
        <v>152</v>
      </c>
      <c r="H77" s="34"/>
      <c r="AA77"/>
      <c r="AB77" s="35"/>
    </row>
    <row r="78" spans="1:28" s="9" customFormat="1" ht="15" hidden="1" customHeight="1" x14ac:dyDescent="0.3">
      <c r="A78" s="26" t="s">
        <v>34</v>
      </c>
      <c r="B78" s="38">
        <v>3</v>
      </c>
      <c r="C78" s="26" t="s">
        <v>204</v>
      </c>
      <c r="D78" s="36">
        <v>7.0000000000000007E-2</v>
      </c>
      <c r="E78" s="43" t="s">
        <v>23</v>
      </c>
      <c r="F78" s="43" t="s">
        <v>33</v>
      </c>
      <c r="G78" s="44" t="s">
        <v>153</v>
      </c>
      <c r="H78" s="34"/>
      <c r="AA78"/>
      <c r="AB78" s="35"/>
    </row>
    <row r="79" spans="1:28" s="9" customFormat="1" ht="15" hidden="1" customHeight="1" x14ac:dyDescent="0.3">
      <c r="A79" s="26" t="s">
        <v>33</v>
      </c>
      <c r="B79" s="38">
        <v>4</v>
      </c>
      <c r="C79" s="26"/>
      <c r="D79" s="36">
        <v>0.08</v>
      </c>
      <c r="E79" s="43" t="s">
        <v>32</v>
      </c>
      <c r="F79" s="43" t="s">
        <v>35</v>
      </c>
      <c r="G79" s="44" t="s">
        <v>154</v>
      </c>
      <c r="H79" s="34"/>
      <c r="AA79"/>
      <c r="AB79" s="35"/>
    </row>
    <row r="80" spans="1:28" s="9" customFormat="1" ht="15.75" hidden="1" customHeight="1" x14ac:dyDescent="0.3">
      <c r="A80" s="26" t="s">
        <v>37</v>
      </c>
      <c r="B80" s="38">
        <v>4</v>
      </c>
      <c r="C80" s="26"/>
      <c r="D80" s="36">
        <v>0.09</v>
      </c>
      <c r="E80" s="43" t="s">
        <v>40</v>
      </c>
      <c r="F80" s="45" t="s">
        <v>24</v>
      </c>
      <c r="G80" s="46"/>
      <c r="H80" s="34"/>
      <c r="AA80"/>
      <c r="AB80" s="35"/>
    </row>
    <row r="81" spans="1:28" s="9" customFormat="1" ht="15.75" hidden="1" customHeight="1" thickBot="1" x14ac:dyDescent="0.35">
      <c r="A81" s="26" t="s">
        <v>36</v>
      </c>
      <c r="B81" s="38">
        <v>5</v>
      </c>
      <c r="C81" s="26"/>
      <c r="D81" s="40">
        <v>0.1</v>
      </c>
      <c r="E81" s="47" t="s">
        <v>41</v>
      </c>
      <c r="F81" s="43" t="s">
        <v>28</v>
      </c>
      <c r="G81" s="44" t="s">
        <v>157</v>
      </c>
      <c r="H81" s="34"/>
      <c r="AA81"/>
      <c r="AB81" s="35"/>
    </row>
    <row r="82" spans="1:28" s="9" customFormat="1" ht="15.75" hidden="1" customHeight="1" x14ac:dyDescent="0.3">
      <c r="A82" s="26" t="s">
        <v>32</v>
      </c>
      <c r="B82" s="38">
        <v>5</v>
      </c>
      <c r="C82" s="26"/>
      <c r="D82" s="36">
        <v>0.11</v>
      </c>
      <c r="E82" s="85"/>
      <c r="F82" s="43" t="s">
        <v>38</v>
      </c>
      <c r="G82" s="44" t="s">
        <v>155</v>
      </c>
      <c r="H82" s="34"/>
      <c r="AA82"/>
      <c r="AB82" s="35"/>
    </row>
    <row r="83" spans="1:28" s="9" customFormat="1" ht="15" hidden="1" thickBot="1" x14ac:dyDescent="0.35">
      <c r="A83" s="27"/>
      <c r="B83" s="38"/>
      <c r="C83" s="27"/>
      <c r="D83" s="36">
        <v>0.12</v>
      </c>
      <c r="E83" s="85"/>
      <c r="F83" s="43" t="s">
        <v>23</v>
      </c>
      <c r="G83" s="44" t="s">
        <v>156</v>
      </c>
      <c r="H83" s="34"/>
    </row>
    <row r="84" spans="1:28" s="9" customFormat="1" hidden="1" x14ac:dyDescent="0.3">
      <c r="A84" s="30"/>
      <c r="B84" s="32"/>
      <c r="C84" s="20"/>
      <c r="D84" s="36"/>
      <c r="E84" s="85"/>
      <c r="F84" s="43" t="s">
        <v>32</v>
      </c>
      <c r="G84" s="44" t="s">
        <v>158</v>
      </c>
      <c r="H84" s="34"/>
    </row>
    <row r="85" spans="1:28" s="9" customFormat="1" ht="15.75" hidden="1" customHeight="1" x14ac:dyDescent="0.3">
      <c r="A85" s="32"/>
      <c r="B85" s="32"/>
      <c r="C85" s="16"/>
      <c r="D85" s="36"/>
      <c r="E85" s="85"/>
      <c r="F85" s="45" t="s">
        <v>26</v>
      </c>
      <c r="G85" s="46"/>
      <c r="H85" s="34"/>
    </row>
    <row r="86" spans="1:28" s="9" customFormat="1" hidden="1" x14ac:dyDescent="0.3">
      <c r="A86" s="16"/>
      <c r="B86" s="32"/>
      <c r="C86" s="16"/>
      <c r="D86" s="36"/>
      <c r="E86" s="85"/>
      <c r="F86" s="43" t="s">
        <v>40</v>
      </c>
      <c r="G86" s="44" t="s">
        <v>159</v>
      </c>
      <c r="H86" s="34"/>
    </row>
    <row r="87" spans="1:28" s="9" customFormat="1" ht="15" hidden="1" thickBot="1" x14ac:dyDescent="0.35">
      <c r="A87" s="16"/>
      <c r="B87" s="32"/>
      <c r="C87" s="16"/>
      <c r="D87" s="36"/>
      <c r="E87" s="85"/>
      <c r="F87" s="47" t="s">
        <v>41</v>
      </c>
      <c r="G87" s="48" t="s">
        <v>160</v>
      </c>
      <c r="H87" s="34"/>
    </row>
    <row r="88" spans="1:28" s="9" customFormat="1" hidden="1" x14ac:dyDescent="0.3">
      <c r="A88" s="16"/>
      <c r="B88" s="32"/>
      <c r="C88" s="16"/>
      <c r="D88" s="32"/>
      <c r="E88" s="85"/>
      <c r="F88" s="28"/>
      <c r="G88" s="28"/>
      <c r="H88" s="34"/>
    </row>
    <row r="89" spans="1:28" s="9" customFormat="1" hidden="1" x14ac:dyDescent="0.3">
      <c r="A89" s="16"/>
      <c r="B89" s="32"/>
      <c r="C89" s="16"/>
      <c r="D89" s="32"/>
      <c r="E89" s="85"/>
      <c r="F89" s="28"/>
      <c r="G89" s="28"/>
      <c r="H89" s="34"/>
    </row>
    <row r="90" spans="1:28" s="9" customFormat="1" hidden="1" x14ac:dyDescent="0.3">
      <c r="A90" s="20"/>
      <c r="B90" s="32"/>
      <c r="C90" s="16"/>
      <c r="D90" s="32"/>
      <c r="E90" s="85"/>
      <c r="F90" s="28"/>
      <c r="G90" s="28"/>
      <c r="H90" s="34"/>
    </row>
    <row r="91" spans="1:28" s="9" customFormat="1" hidden="1" x14ac:dyDescent="0.3">
      <c r="A91" s="20"/>
      <c r="B91" s="32"/>
      <c r="C91" s="16"/>
      <c r="D91" s="32"/>
      <c r="E91" s="85"/>
      <c r="F91" s="28"/>
      <c r="G91" s="28"/>
      <c r="H91" s="34"/>
    </row>
    <row r="92" spans="1:28" s="9" customFormat="1" hidden="1" x14ac:dyDescent="0.3">
      <c r="A92" s="136"/>
      <c r="B92" s="266"/>
      <c r="C92" s="136"/>
      <c r="D92" s="266"/>
      <c r="E92" s="266"/>
      <c r="F92" s="267"/>
      <c r="G92" s="267"/>
      <c r="H92" s="34"/>
    </row>
    <row r="93" spans="1:28" s="9" customFormat="1" hidden="1" x14ac:dyDescent="0.3">
      <c r="A93" s="136"/>
      <c r="B93" s="266"/>
      <c r="C93" s="136"/>
      <c r="D93" s="266"/>
      <c r="E93" s="266"/>
      <c r="F93" s="267"/>
      <c r="G93" s="267"/>
      <c r="H93" s="34"/>
    </row>
    <row r="94" spans="1:28" hidden="1" x14ac:dyDescent="0.3">
      <c r="F94" s="34"/>
      <c r="G94" s="34"/>
      <c r="H94" s="34"/>
    </row>
    <row r="95" spans="1:28" hidden="1" x14ac:dyDescent="0.3">
      <c r="F95" s="34"/>
      <c r="G95" s="34"/>
      <c r="H95" s="34"/>
    </row>
    <row r="96" spans="1:28" hidden="1" x14ac:dyDescent="0.3">
      <c r="A96" s="438" t="s">
        <v>290</v>
      </c>
      <c r="B96" s="439"/>
      <c r="C96" s="439"/>
      <c r="D96" s="440"/>
      <c r="F96" s="438" t="s">
        <v>291</v>
      </c>
      <c r="G96" s="439"/>
      <c r="H96" s="439"/>
      <c r="I96" s="440"/>
      <c r="J96" s="34"/>
    </row>
    <row r="97" spans="1:10" hidden="1" x14ac:dyDescent="0.3">
      <c r="A97" s="128" t="s">
        <v>5</v>
      </c>
      <c r="B97" s="128" t="s">
        <v>256</v>
      </c>
      <c r="C97" s="128" t="s">
        <v>244</v>
      </c>
      <c r="D97" s="128" t="s">
        <v>296</v>
      </c>
      <c r="F97" s="128" t="s">
        <v>5</v>
      </c>
      <c r="G97" s="128" t="s">
        <v>256</v>
      </c>
      <c r="H97" s="128" t="s">
        <v>244</v>
      </c>
      <c r="I97" s="128" t="s">
        <v>249</v>
      </c>
      <c r="J97" s="34"/>
    </row>
    <row r="98" spans="1:10" hidden="1" x14ac:dyDescent="0.3">
      <c r="A98" s="16" t="s">
        <v>29</v>
      </c>
      <c r="B98" s="15" t="s">
        <v>21</v>
      </c>
      <c r="C98" s="1" t="str">
        <f>CONCATENATE(A98,B98,)</f>
        <v>El PasoChihuahua</v>
      </c>
      <c r="D98" s="17"/>
      <c r="F98" s="16" t="s">
        <v>29</v>
      </c>
      <c r="G98" s="15" t="s">
        <v>21</v>
      </c>
      <c r="H98" s="1" t="str">
        <f t="shared" ref="H98:H123" si="2">CONCATENATE(F98,G98,)</f>
        <v>El PasoChihuahua</v>
      </c>
      <c r="I98" s="17">
        <f>2*4</f>
        <v>8</v>
      </c>
      <c r="J98" s="34"/>
    </row>
    <row r="99" spans="1:10" hidden="1" x14ac:dyDescent="0.3">
      <c r="A99" s="16" t="s">
        <v>29</v>
      </c>
      <c r="B99" s="15" t="s">
        <v>23</v>
      </c>
      <c r="C99" s="1" t="str">
        <f t="shared" ref="C99:C123" si="3">CONCATENATE(A99,B99,)</f>
        <v>El PasoCd. Juarez</v>
      </c>
      <c r="D99" s="17"/>
      <c r="F99" s="16" t="s">
        <v>29</v>
      </c>
      <c r="G99" s="15" t="s">
        <v>23</v>
      </c>
      <c r="H99" s="1" t="str">
        <f t="shared" si="2"/>
        <v>El PasoCd. Juarez</v>
      </c>
      <c r="I99" s="17">
        <v>15</v>
      </c>
      <c r="J99" s="34"/>
    </row>
    <row r="100" spans="1:10" hidden="1" x14ac:dyDescent="0.3">
      <c r="A100" s="16" t="s">
        <v>29</v>
      </c>
      <c r="B100" s="15" t="s">
        <v>34</v>
      </c>
      <c r="C100" s="1" t="str">
        <f t="shared" si="3"/>
        <v>El PasoPuebla</v>
      </c>
      <c r="D100" s="17"/>
      <c r="F100" s="16" t="s">
        <v>29</v>
      </c>
      <c r="G100" s="15" t="s">
        <v>34</v>
      </c>
      <c r="H100" s="1" t="str">
        <f t="shared" si="2"/>
        <v>El PasoPuebla</v>
      </c>
      <c r="I100" s="17">
        <v>135</v>
      </c>
      <c r="J100" s="34"/>
    </row>
    <row r="101" spans="1:10" hidden="1" x14ac:dyDescent="0.3">
      <c r="A101" s="16" t="s">
        <v>29</v>
      </c>
      <c r="B101" s="15" t="s">
        <v>33</v>
      </c>
      <c r="C101" s="1" t="str">
        <f t="shared" si="3"/>
        <v>El PasoNogales</v>
      </c>
      <c r="D101" s="17"/>
      <c r="F101" s="16" t="s">
        <v>29</v>
      </c>
      <c r="G101" s="15" t="s">
        <v>33</v>
      </c>
      <c r="H101" s="1" t="str">
        <f t="shared" si="2"/>
        <v>El PasoNogales</v>
      </c>
      <c r="I101" s="17">
        <v>4741</v>
      </c>
      <c r="J101" s="34"/>
    </row>
    <row r="102" spans="1:10" hidden="1" x14ac:dyDescent="0.3">
      <c r="A102" s="16" t="s">
        <v>29</v>
      </c>
      <c r="B102" s="15" t="s">
        <v>37</v>
      </c>
      <c r="C102" s="1" t="str">
        <f t="shared" si="3"/>
        <v>El PasoHermosillo</v>
      </c>
      <c r="D102" s="17"/>
      <c r="F102" s="16" t="s">
        <v>29</v>
      </c>
      <c r="G102" s="15" t="s">
        <v>37</v>
      </c>
      <c r="H102" s="1" t="str">
        <f t="shared" si="2"/>
        <v>El PasoHermosillo</v>
      </c>
      <c r="I102" s="17">
        <v>4</v>
      </c>
      <c r="J102" s="34"/>
    </row>
    <row r="103" spans="1:10" hidden="1" x14ac:dyDescent="0.3">
      <c r="A103" s="16" t="s">
        <v>31</v>
      </c>
      <c r="B103" s="15" t="s">
        <v>25</v>
      </c>
      <c r="C103" s="1" t="str">
        <f t="shared" si="3"/>
        <v>LaredoSaltillo</v>
      </c>
      <c r="D103" s="17"/>
      <c r="F103" s="16" t="s">
        <v>31</v>
      </c>
      <c r="G103" s="15" t="s">
        <v>25</v>
      </c>
      <c r="H103" s="1" t="str">
        <f t="shared" si="2"/>
        <v>LaredoSaltillo</v>
      </c>
      <c r="I103" s="17">
        <v>158</v>
      </c>
      <c r="J103" s="34"/>
    </row>
    <row r="104" spans="1:10" hidden="1" x14ac:dyDescent="0.3">
      <c r="A104" s="16" t="s">
        <v>31</v>
      </c>
      <c r="B104" s="15" t="s">
        <v>27</v>
      </c>
      <c r="C104" s="1" t="str">
        <f t="shared" si="3"/>
        <v xml:space="preserve">LaredoTorreon </v>
      </c>
      <c r="D104" s="17"/>
      <c r="F104" s="16" t="s">
        <v>31</v>
      </c>
      <c r="G104" s="15" t="s">
        <v>27</v>
      </c>
      <c r="H104" s="1" t="str">
        <f t="shared" si="2"/>
        <v xml:space="preserve">LaredoTorreon </v>
      </c>
      <c r="I104" s="17">
        <v>164</v>
      </c>
      <c r="J104" s="34"/>
    </row>
    <row r="105" spans="1:10" hidden="1" x14ac:dyDescent="0.3">
      <c r="A105" s="16" t="s">
        <v>31</v>
      </c>
      <c r="B105" s="15" t="s">
        <v>28</v>
      </c>
      <c r="C105" s="1" t="str">
        <f t="shared" si="3"/>
        <v>LaredoMonterrey</v>
      </c>
      <c r="D105" s="17"/>
      <c r="F105" s="16" t="s">
        <v>31</v>
      </c>
      <c r="G105" s="15" t="s">
        <v>28</v>
      </c>
      <c r="H105" s="1" t="str">
        <f t="shared" si="2"/>
        <v>LaredoMonterrey</v>
      </c>
      <c r="I105" s="17">
        <v>46487</v>
      </c>
      <c r="J105" s="34"/>
    </row>
    <row r="106" spans="1:10" hidden="1" x14ac:dyDescent="0.3">
      <c r="A106" s="16" t="s">
        <v>31</v>
      </c>
      <c r="B106" s="15" t="s">
        <v>30</v>
      </c>
      <c r="C106" s="1" t="str">
        <f t="shared" si="3"/>
        <v>LaredoCDMX</v>
      </c>
      <c r="D106" s="17"/>
      <c r="F106" s="16" t="s">
        <v>31</v>
      </c>
      <c r="G106" s="15" t="s">
        <v>30</v>
      </c>
      <c r="H106" s="1" t="str">
        <f t="shared" si="2"/>
        <v>LaredoCDMX</v>
      </c>
      <c r="I106" s="17">
        <v>77</v>
      </c>
      <c r="J106" s="34"/>
    </row>
    <row r="107" spans="1:10" hidden="1" x14ac:dyDescent="0.3">
      <c r="A107" s="16" t="s">
        <v>31</v>
      </c>
      <c r="B107" s="15" t="s">
        <v>34</v>
      </c>
      <c r="C107" s="1" t="str">
        <f t="shared" si="3"/>
        <v>LaredoPuebla</v>
      </c>
      <c r="D107" s="17"/>
      <c r="F107" s="16" t="s">
        <v>31</v>
      </c>
      <c r="G107" s="15" t="s">
        <v>34</v>
      </c>
      <c r="H107" s="1" t="str">
        <f t="shared" si="2"/>
        <v>LaredoPuebla</v>
      </c>
      <c r="I107" s="17">
        <v>999</v>
      </c>
      <c r="J107" s="34"/>
    </row>
    <row r="108" spans="1:10" hidden="1" x14ac:dyDescent="0.3">
      <c r="A108" s="16" t="s">
        <v>33</v>
      </c>
      <c r="B108" s="15" t="s">
        <v>33</v>
      </c>
      <c r="C108" s="1" t="str">
        <f t="shared" si="3"/>
        <v>NogalesNogales</v>
      </c>
      <c r="D108" s="17"/>
      <c r="F108" s="16" t="s">
        <v>33</v>
      </c>
      <c r="G108" s="15" t="s">
        <v>33</v>
      </c>
      <c r="H108" s="1" t="str">
        <f t="shared" si="2"/>
        <v>NogalesNogales</v>
      </c>
      <c r="I108" s="17">
        <v>7785</v>
      </c>
      <c r="J108" s="34"/>
    </row>
    <row r="109" spans="1:10" hidden="1" x14ac:dyDescent="0.3">
      <c r="A109" s="16" t="s">
        <v>33</v>
      </c>
      <c r="B109" s="15" t="s">
        <v>37</v>
      </c>
      <c r="C109" s="1" t="str">
        <f t="shared" si="3"/>
        <v>NogalesHermosillo</v>
      </c>
      <c r="D109" s="17"/>
      <c r="F109" s="16" t="s">
        <v>33</v>
      </c>
      <c r="G109" s="15" t="s">
        <v>37</v>
      </c>
      <c r="H109" s="1" t="str">
        <f t="shared" si="2"/>
        <v>NogalesHermosillo</v>
      </c>
      <c r="I109" s="17">
        <v>751</v>
      </c>
      <c r="J109" s="34"/>
    </row>
    <row r="110" spans="1:10" hidden="1" x14ac:dyDescent="0.3">
      <c r="A110" s="16" t="s">
        <v>33</v>
      </c>
      <c r="B110" s="15" t="s">
        <v>36</v>
      </c>
      <c r="C110" s="1" t="str">
        <f t="shared" si="3"/>
        <v>NogalesMexicali</v>
      </c>
      <c r="D110" s="17"/>
      <c r="F110" s="16" t="s">
        <v>33</v>
      </c>
      <c r="G110" s="15" t="s">
        <v>36</v>
      </c>
      <c r="H110" s="1" t="str">
        <f t="shared" si="2"/>
        <v>NogalesMexicali</v>
      </c>
      <c r="I110" s="17">
        <v>751</v>
      </c>
      <c r="J110" s="34"/>
    </row>
    <row r="111" spans="1:10" hidden="1" x14ac:dyDescent="0.3">
      <c r="A111" s="16" t="s">
        <v>35</v>
      </c>
      <c r="B111" s="15" t="s">
        <v>36</v>
      </c>
      <c r="C111" s="1" t="str">
        <f t="shared" si="3"/>
        <v>San DiegoMexicali</v>
      </c>
      <c r="D111" s="17"/>
      <c r="F111" s="16" t="s">
        <v>35</v>
      </c>
      <c r="G111" s="15" t="s">
        <v>36</v>
      </c>
      <c r="H111" s="1" t="str">
        <f t="shared" si="2"/>
        <v>San DiegoMexicali</v>
      </c>
      <c r="I111" s="17">
        <v>751</v>
      </c>
      <c r="J111" s="34"/>
    </row>
    <row r="112" spans="1:10" hidden="1" x14ac:dyDescent="0.3">
      <c r="A112" s="16" t="s">
        <v>35</v>
      </c>
      <c r="B112" s="15" t="s">
        <v>32</v>
      </c>
      <c r="C112" s="1" t="str">
        <f t="shared" si="3"/>
        <v>San DiegoTijuana</v>
      </c>
      <c r="D112" s="17"/>
      <c r="F112" s="16" t="s">
        <v>35</v>
      </c>
      <c r="G112" s="15" t="s">
        <v>32</v>
      </c>
      <c r="H112" s="1" t="str">
        <f t="shared" si="2"/>
        <v>San DiegoTijuana</v>
      </c>
      <c r="I112" s="17">
        <v>751</v>
      </c>
      <c r="J112" s="34"/>
    </row>
    <row r="113" spans="1:10" hidden="1" x14ac:dyDescent="0.3">
      <c r="A113" s="16" t="s">
        <v>28</v>
      </c>
      <c r="B113" s="15" t="s">
        <v>28</v>
      </c>
      <c r="C113" s="1" t="str">
        <f t="shared" si="3"/>
        <v>MonterreyMonterrey</v>
      </c>
      <c r="D113" s="17"/>
      <c r="F113" s="16" t="s">
        <v>28</v>
      </c>
      <c r="G113" s="15" t="s">
        <v>28</v>
      </c>
      <c r="H113" s="1" t="str">
        <f t="shared" si="2"/>
        <v>MonterreyMonterrey</v>
      </c>
      <c r="I113" s="17">
        <v>751</v>
      </c>
      <c r="J113" s="34"/>
    </row>
    <row r="114" spans="1:10" hidden="1" x14ac:dyDescent="0.3">
      <c r="A114" s="16" t="s">
        <v>28</v>
      </c>
      <c r="B114" s="15" t="s">
        <v>25</v>
      </c>
      <c r="C114" s="1" t="str">
        <f t="shared" si="3"/>
        <v>MonterreySaltillo</v>
      </c>
      <c r="D114" s="17"/>
      <c r="F114" s="16" t="s">
        <v>28</v>
      </c>
      <c r="G114" s="15" t="s">
        <v>25</v>
      </c>
      <c r="H114" s="1" t="str">
        <f t="shared" si="2"/>
        <v>MonterreySaltillo</v>
      </c>
      <c r="I114" s="17">
        <v>751</v>
      </c>
      <c r="J114" s="34"/>
    </row>
    <row r="115" spans="1:10" hidden="1" x14ac:dyDescent="0.3">
      <c r="A115" s="16" t="s">
        <v>38</v>
      </c>
      <c r="B115" s="15" t="s">
        <v>34</v>
      </c>
      <c r="C115" s="1" t="str">
        <f t="shared" si="3"/>
        <v>AICMPuebla</v>
      </c>
      <c r="D115" s="17"/>
      <c r="F115" s="16" t="s">
        <v>38</v>
      </c>
      <c r="G115" s="15" t="s">
        <v>34</v>
      </c>
      <c r="H115" s="1" t="str">
        <f t="shared" si="2"/>
        <v>AICMPuebla</v>
      </c>
      <c r="I115" s="17">
        <v>751</v>
      </c>
      <c r="J115" s="34"/>
    </row>
    <row r="116" spans="1:10" hidden="1" x14ac:dyDescent="0.3">
      <c r="A116" s="16" t="s">
        <v>23</v>
      </c>
      <c r="B116" s="15" t="s">
        <v>21</v>
      </c>
      <c r="C116" s="1" t="str">
        <f t="shared" si="3"/>
        <v>Cd. JuarezChihuahua</v>
      </c>
      <c r="D116" s="17"/>
      <c r="F116" s="16" t="s">
        <v>23</v>
      </c>
      <c r="G116" s="15" t="s">
        <v>21</v>
      </c>
      <c r="H116" s="1" t="str">
        <f t="shared" si="2"/>
        <v>Cd. JuarezChihuahua</v>
      </c>
      <c r="I116" s="17">
        <v>751</v>
      </c>
      <c r="J116" s="34"/>
    </row>
    <row r="117" spans="1:10" hidden="1" x14ac:dyDescent="0.3">
      <c r="A117" s="16" t="s">
        <v>23</v>
      </c>
      <c r="B117" s="15" t="s">
        <v>23</v>
      </c>
      <c r="C117" s="1" t="str">
        <f t="shared" si="3"/>
        <v>Cd. JuarezCd. Juarez</v>
      </c>
      <c r="D117" s="17"/>
      <c r="F117" s="16" t="s">
        <v>23</v>
      </c>
      <c r="G117" s="15" t="s">
        <v>23</v>
      </c>
      <c r="H117" s="1" t="str">
        <f t="shared" si="2"/>
        <v>Cd. JuarezCd. Juarez</v>
      </c>
      <c r="I117" s="17">
        <v>751</v>
      </c>
      <c r="J117" s="34"/>
    </row>
    <row r="118" spans="1:10" hidden="1" x14ac:dyDescent="0.3">
      <c r="A118" s="16" t="s">
        <v>23</v>
      </c>
      <c r="B118" s="15" t="s">
        <v>34</v>
      </c>
      <c r="C118" s="1" t="str">
        <f t="shared" si="3"/>
        <v>Cd. JuarezPuebla</v>
      </c>
      <c r="D118" s="17"/>
      <c r="F118" s="16" t="s">
        <v>23</v>
      </c>
      <c r="G118" s="15" t="s">
        <v>34</v>
      </c>
      <c r="H118" s="1" t="str">
        <f t="shared" si="2"/>
        <v>Cd. JuarezPuebla</v>
      </c>
      <c r="I118" s="17">
        <v>751</v>
      </c>
      <c r="J118" s="34"/>
    </row>
    <row r="119" spans="1:10" hidden="1" x14ac:dyDescent="0.3">
      <c r="A119" s="16" t="s">
        <v>23</v>
      </c>
      <c r="B119" s="15" t="s">
        <v>33</v>
      </c>
      <c r="C119" s="1" t="str">
        <f t="shared" si="3"/>
        <v>Cd. JuarezNogales</v>
      </c>
      <c r="D119" s="17"/>
      <c r="F119" s="16" t="s">
        <v>23</v>
      </c>
      <c r="G119" s="15" t="s">
        <v>33</v>
      </c>
      <c r="H119" s="1" t="str">
        <f t="shared" si="2"/>
        <v>Cd. JuarezNogales</v>
      </c>
      <c r="I119" s="17">
        <v>751</v>
      </c>
      <c r="J119" s="34"/>
    </row>
    <row r="120" spans="1:10" hidden="1" x14ac:dyDescent="0.3">
      <c r="A120" s="16" t="s">
        <v>32</v>
      </c>
      <c r="B120" s="15" t="s">
        <v>32</v>
      </c>
      <c r="C120" s="1" t="str">
        <f t="shared" si="3"/>
        <v>TijuanaTijuana</v>
      </c>
      <c r="D120" s="17"/>
      <c r="F120" s="16" t="s">
        <v>32</v>
      </c>
      <c r="G120" s="15" t="s">
        <v>32</v>
      </c>
      <c r="H120" s="1" t="str">
        <f t="shared" si="2"/>
        <v>TijuanaTijuana</v>
      </c>
      <c r="I120" s="17">
        <v>751</v>
      </c>
      <c r="J120" s="34"/>
    </row>
    <row r="121" spans="1:10" hidden="1" x14ac:dyDescent="0.3">
      <c r="A121" s="16" t="s">
        <v>32</v>
      </c>
      <c r="B121" s="15" t="s">
        <v>36</v>
      </c>
      <c r="C121" s="1" t="str">
        <f t="shared" si="3"/>
        <v>TijuanaMexicali</v>
      </c>
      <c r="D121" s="17"/>
      <c r="F121" s="16" t="s">
        <v>32</v>
      </c>
      <c r="G121" s="15" t="s">
        <v>36</v>
      </c>
      <c r="H121" s="1" t="str">
        <f t="shared" si="2"/>
        <v>TijuanaMexicali</v>
      </c>
      <c r="I121" s="17">
        <v>751</v>
      </c>
      <c r="J121" s="34"/>
    </row>
    <row r="122" spans="1:10" hidden="1" x14ac:dyDescent="0.3">
      <c r="A122" s="16" t="s">
        <v>40</v>
      </c>
      <c r="B122" s="32" t="s">
        <v>13</v>
      </c>
      <c r="C122" s="1" t="str">
        <f t="shared" si="3"/>
        <v>AltamiraSucursales</v>
      </c>
      <c r="D122" s="17"/>
      <c r="F122" s="16" t="s">
        <v>40</v>
      </c>
      <c r="G122" s="32" t="s">
        <v>13</v>
      </c>
      <c r="H122" s="1" t="str">
        <f t="shared" si="2"/>
        <v>AltamiraSucursales</v>
      </c>
      <c r="I122" s="17">
        <v>751</v>
      </c>
      <c r="J122" s="34"/>
    </row>
    <row r="123" spans="1:10" hidden="1" x14ac:dyDescent="0.3">
      <c r="A123" s="16" t="s">
        <v>41</v>
      </c>
      <c r="B123" s="32" t="s">
        <v>13</v>
      </c>
      <c r="C123" s="1" t="str">
        <f t="shared" si="3"/>
        <v>ManzanilloSucursales</v>
      </c>
      <c r="D123" s="17"/>
      <c r="F123" s="16" t="s">
        <v>41</v>
      </c>
      <c r="G123" s="32" t="s">
        <v>13</v>
      </c>
      <c r="H123" s="1" t="str">
        <f t="shared" si="2"/>
        <v>ManzanilloSucursales</v>
      </c>
      <c r="I123" s="17">
        <v>751</v>
      </c>
      <c r="J123" s="34"/>
    </row>
    <row r="124" spans="1:10" hidden="1" x14ac:dyDescent="0.3">
      <c r="A124" s="135"/>
      <c r="B124" s="136"/>
      <c r="F124" s="9"/>
      <c r="I124" s="135"/>
      <c r="J124" s="34"/>
    </row>
    <row r="125" spans="1:10" hidden="1" x14ac:dyDescent="0.3">
      <c r="A125" s="135"/>
      <c r="B125" s="136"/>
      <c r="F125" s="9"/>
      <c r="I125" s="135"/>
      <c r="J125" s="34"/>
    </row>
    <row r="126" spans="1:10" hidden="1" x14ac:dyDescent="0.3">
      <c r="A126" s="268"/>
      <c r="B126" s="37"/>
    </row>
    <row r="127" spans="1:10" hidden="1" x14ac:dyDescent="0.3">
      <c r="A127" s="268"/>
      <c r="B127" s="37"/>
    </row>
    <row r="128" spans="1:10" hidden="1" x14ac:dyDescent="0.3">
      <c r="A128" s="268"/>
      <c r="B128" s="37"/>
    </row>
    <row r="129" spans="1:6" hidden="1" x14ac:dyDescent="0.3">
      <c r="A129" s="268"/>
      <c r="B129" s="37"/>
    </row>
    <row r="130" spans="1:6" hidden="1" x14ac:dyDescent="0.3">
      <c r="A130" s="438" t="s">
        <v>290</v>
      </c>
      <c r="B130" s="439"/>
      <c r="C130" s="439"/>
      <c r="D130" s="439"/>
      <c r="E130" s="439"/>
      <c r="F130" s="440"/>
    </row>
    <row r="131" spans="1:6" hidden="1" x14ac:dyDescent="0.3">
      <c r="A131" s="128" t="s">
        <v>5</v>
      </c>
      <c r="B131" s="128" t="s">
        <v>256</v>
      </c>
      <c r="C131" s="128" t="s">
        <v>244</v>
      </c>
      <c r="D131" s="269" t="s">
        <v>286</v>
      </c>
      <c r="E131" s="269" t="s">
        <v>287</v>
      </c>
      <c r="F131" s="269" t="s">
        <v>288</v>
      </c>
    </row>
    <row r="132" spans="1:6" hidden="1" x14ac:dyDescent="0.3">
      <c r="A132" s="16" t="s">
        <v>29</v>
      </c>
      <c r="B132" s="15" t="s">
        <v>21</v>
      </c>
      <c r="C132" s="1" t="str">
        <f>CONCATENATE(A132,B132,)</f>
        <v>El PasoChihuahua</v>
      </c>
      <c r="D132" s="17">
        <f>2*4</f>
        <v>8</v>
      </c>
      <c r="E132" s="1"/>
      <c r="F132" s="1"/>
    </row>
    <row r="133" spans="1:6" hidden="1" x14ac:dyDescent="0.3">
      <c r="A133" s="16" t="s">
        <v>29</v>
      </c>
      <c r="B133" s="15" t="s">
        <v>23</v>
      </c>
      <c r="C133" s="1" t="str">
        <f t="shared" ref="C133:C157" si="4">CONCATENATE(A133,B133,)</f>
        <v>El PasoCd. Juarez</v>
      </c>
      <c r="D133" s="17">
        <v>15</v>
      </c>
      <c r="E133" s="1"/>
      <c r="F133" s="1"/>
    </row>
    <row r="134" spans="1:6" hidden="1" x14ac:dyDescent="0.3">
      <c r="A134" s="16" t="s">
        <v>29</v>
      </c>
      <c r="B134" s="15" t="s">
        <v>34</v>
      </c>
      <c r="C134" s="1" t="str">
        <f t="shared" si="4"/>
        <v>El PasoPuebla</v>
      </c>
      <c r="D134" s="17">
        <v>135</v>
      </c>
      <c r="E134" s="1"/>
      <c r="F134" s="1"/>
    </row>
    <row r="135" spans="1:6" hidden="1" x14ac:dyDescent="0.3">
      <c r="A135" s="16" t="s">
        <v>29</v>
      </c>
      <c r="B135" s="15" t="s">
        <v>33</v>
      </c>
      <c r="C135" s="1" t="str">
        <f t="shared" si="4"/>
        <v>El PasoNogales</v>
      </c>
      <c r="D135" s="17">
        <v>4741</v>
      </c>
      <c r="E135" s="1"/>
      <c r="F135" s="1"/>
    </row>
    <row r="136" spans="1:6" hidden="1" x14ac:dyDescent="0.3">
      <c r="A136" s="16" t="s">
        <v>29</v>
      </c>
      <c r="B136" s="15" t="s">
        <v>37</v>
      </c>
      <c r="C136" s="1" t="str">
        <f t="shared" si="4"/>
        <v>El PasoHermosillo</v>
      </c>
      <c r="D136" s="17">
        <v>4</v>
      </c>
      <c r="E136" s="1"/>
      <c r="F136" s="1"/>
    </row>
    <row r="137" spans="1:6" hidden="1" x14ac:dyDescent="0.3">
      <c r="A137" s="16" t="s">
        <v>31</v>
      </c>
      <c r="B137" s="15" t="s">
        <v>25</v>
      </c>
      <c r="C137" s="1" t="str">
        <f t="shared" si="4"/>
        <v>LaredoSaltillo</v>
      </c>
      <c r="D137" s="17">
        <v>158</v>
      </c>
      <c r="E137" s="1"/>
      <c r="F137" s="1"/>
    </row>
    <row r="138" spans="1:6" hidden="1" x14ac:dyDescent="0.3">
      <c r="A138" s="16" t="s">
        <v>31</v>
      </c>
      <c r="B138" s="15" t="s">
        <v>27</v>
      </c>
      <c r="C138" s="1" t="str">
        <f t="shared" si="4"/>
        <v xml:space="preserve">LaredoTorreon </v>
      </c>
      <c r="D138" s="17">
        <v>164</v>
      </c>
      <c r="E138" s="1"/>
      <c r="F138" s="1"/>
    </row>
    <row r="139" spans="1:6" hidden="1" x14ac:dyDescent="0.3">
      <c r="A139" s="16" t="s">
        <v>31</v>
      </c>
      <c r="B139" s="15" t="s">
        <v>28</v>
      </c>
      <c r="C139" s="1" t="str">
        <f t="shared" si="4"/>
        <v>LaredoMonterrey</v>
      </c>
      <c r="D139" s="17">
        <v>46487</v>
      </c>
      <c r="E139" s="1"/>
      <c r="F139" s="1"/>
    </row>
    <row r="140" spans="1:6" hidden="1" x14ac:dyDescent="0.3">
      <c r="A140" s="16" t="s">
        <v>31</v>
      </c>
      <c r="B140" s="15" t="s">
        <v>30</v>
      </c>
      <c r="C140" s="1" t="str">
        <f t="shared" si="4"/>
        <v>LaredoCDMX</v>
      </c>
      <c r="D140" s="17">
        <v>77</v>
      </c>
      <c r="E140" s="1"/>
      <c r="F140" s="1"/>
    </row>
    <row r="141" spans="1:6" hidden="1" x14ac:dyDescent="0.3">
      <c r="A141" s="16" t="s">
        <v>31</v>
      </c>
      <c r="B141" s="15" t="s">
        <v>34</v>
      </c>
      <c r="C141" s="1" t="str">
        <f t="shared" si="4"/>
        <v>LaredoPuebla</v>
      </c>
      <c r="D141" s="17">
        <v>999</v>
      </c>
      <c r="E141" s="1"/>
      <c r="F141" s="1"/>
    </row>
    <row r="142" spans="1:6" hidden="1" x14ac:dyDescent="0.3">
      <c r="A142" s="16" t="s">
        <v>33</v>
      </c>
      <c r="B142" s="15" t="s">
        <v>33</v>
      </c>
      <c r="C142" s="1" t="str">
        <f t="shared" si="4"/>
        <v>NogalesNogales</v>
      </c>
      <c r="D142" s="17">
        <v>7785</v>
      </c>
      <c r="E142" s="1"/>
      <c r="F142" s="1"/>
    </row>
    <row r="143" spans="1:6" hidden="1" x14ac:dyDescent="0.3">
      <c r="A143" s="16" t="s">
        <v>33</v>
      </c>
      <c r="B143" s="15" t="s">
        <v>37</v>
      </c>
      <c r="C143" s="1" t="str">
        <f t="shared" si="4"/>
        <v>NogalesHermosillo</v>
      </c>
      <c r="D143" s="17">
        <v>751</v>
      </c>
      <c r="E143" s="1"/>
      <c r="F143" s="1"/>
    </row>
    <row r="144" spans="1:6" hidden="1" x14ac:dyDescent="0.3">
      <c r="A144" s="16" t="s">
        <v>33</v>
      </c>
      <c r="B144" s="15" t="s">
        <v>36</v>
      </c>
      <c r="C144" s="1" t="str">
        <f t="shared" si="4"/>
        <v>NogalesMexicali</v>
      </c>
      <c r="D144" s="17">
        <v>751</v>
      </c>
      <c r="E144" s="1"/>
      <c r="F144" s="1"/>
    </row>
    <row r="145" spans="1:6" hidden="1" x14ac:dyDescent="0.3">
      <c r="A145" s="16" t="s">
        <v>35</v>
      </c>
      <c r="B145" s="15" t="s">
        <v>36</v>
      </c>
      <c r="C145" s="1" t="str">
        <f t="shared" si="4"/>
        <v>San DiegoMexicali</v>
      </c>
      <c r="D145" s="17">
        <v>751</v>
      </c>
      <c r="E145" s="1"/>
      <c r="F145" s="1"/>
    </row>
    <row r="146" spans="1:6" hidden="1" x14ac:dyDescent="0.3">
      <c r="A146" s="16" t="s">
        <v>35</v>
      </c>
      <c r="B146" s="15" t="s">
        <v>32</v>
      </c>
      <c r="C146" s="1" t="str">
        <f t="shared" si="4"/>
        <v>San DiegoTijuana</v>
      </c>
      <c r="D146" s="17">
        <v>751</v>
      </c>
      <c r="E146" s="1"/>
      <c r="F146" s="1"/>
    </row>
    <row r="147" spans="1:6" hidden="1" x14ac:dyDescent="0.3">
      <c r="A147" s="16" t="s">
        <v>28</v>
      </c>
      <c r="B147" s="15" t="s">
        <v>28</v>
      </c>
      <c r="C147" s="1" t="str">
        <f t="shared" si="4"/>
        <v>MonterreyMonterrey</v>
      </c>
      <c r="D147" s="17">
        <v>751</v>
      </c>
      <c r="E147" s="1"/>
      <c r="F147" s="1"/>
    </row>
    <row r="148" spans="1:6" hidden="1" x14ac:dyDescent="0.3">
      <c r="A148" s="16" t="s">
        <v>28</v>
      </c>
      <c r="B148" s="15" t="s">
        <v>25</v>
      </c>
      <c r="C148" s="1" t="str">
        <f t="shared" si="4"/>
        <v>MonterreySaltillo</v>
      </c>
      <c r="D148" s="17">
        <v>751</v>
      </c>
      <c r="E148" s="1"/>
      <c r="F148" s="1"/>
    </row>
    <row r="149" spans="1:6" hidden="1" x14ac:dyDescent="0.3">
      <c r="A149" s="16" t="s">
        <v>38</v>
      </c>
      <c r="B149" s="15" t="s">
        <v>34</v>
      </c>
      <c r="C149" s="1" t="str">
        <f t="shared" si="4"/>
        <v>AICMPuebla</v>
      </c>
      <c r="D149" s="17">
        <v>751</v>
      </c>
      <c r="E149" s="1"/>
      <c r="F149" s="1"/>
    </row>
    <row r="150" spans="1:6" hidden="1" x14ac:dyDescent="0.3">
      <c r="A150" s="16" t="s">
        <v>23</v>
      </c>
      <c r="B150" s="15" t="s">
        <v>21</v>
      </c>
      <c r="C150" s="1" t="str">
        <f t="shared" si="4"/>
        <v>Cd. JuarezChihuahua</v>
      </c>
      <c r="D150" s="17">
        <v>751</v>
      </c>
      <c r="E150" s="1"/>
      <c r="F150" s="1"/>
    </row>
    <row r="151" spans="1:6" hidden="1" x14ac:dyDescent="0.3">
      <c r="A151" s="16" t="s">
        <v>23</v>
      </c>
      <c r="B151" s="15" t="s">
        <v>23</v>
      </c>
      <c r="C151" s="1" t="str">
        <f t="shared" si="4"/>
        <v>Cd. JuarezCd. Juarez</v>
      </c>
      <c r="D151" s="17">
        <v>751</v>
      </c>
      <c r="E151" s="1"/>
      <c r="F151" s="1"/>
    </row>
    <row r="152" spans="1:6" hidden="1" x14ac:dyDescent="0.3">
      <c r="A152" s="16" t="s">
        <v>23</v>
      </c>
      <c r="B152" s="15" t="s">
        <v>34</v>
      </c>
      <c r="C152" s="1" t="str">
        <f t="shared" si="4"/>
        <v>Cd. JuarezPuebla</v>
      </c>
      <c r="D152" s="17">
        <v>751</v>
      </c>
      <c r="E152" s="1"/>
      <c r="F152" s="1"/>
    </row>
    <row r="153" spans="1:6" hidden="1" x14ac:dyDescent="0.3">
      <c r="A153" s="16" t="s">
        <v>23</v>
      </c>
      <c r="B153" s="15" t="s">
        <v>33</v>
      </c>
      <c r="C153" s="1" t="str">
        <f t="shared" si="4"/>
        <v>Cd. JuarezNogales</v>
      </c>
      <c r="D153" s="17">
        <v>751</v>
      </c>
      <c r="E153" s="1"/>
      <c r="F153" s="1"/>
    </row>
    <row r="154" spans="1:6" hidden="1" x14ac:dyDescent="0.3">
      <c r="A154" s="16" t="s">
        <v>32</v>
      </c>
      <c r="B154" s="15" t="s">
        <v>32</v>
      </c>
      <c r="C154" s="1" t="str">
        <f t="shared" si="4"/>
        <v>TijuanaTijuana</v>
      </c>
      <c r="D154" s="17">
        <v>751</v>
      </c>
      <c r="E154" s="1"/>
      <c r="F154" s="1"/>
    </row>
    <row r="155" spans="1:6" hidden="1" x14ac:dyDescent="0.3">
      <c r="A155" s="16" t="s">
        <v>32</v>
      </c>
      <c r="B155" s="15" t="s">
        <v>36</v>
      </c>
      <c r="C155" s="1" t="str">
        <f t="shared" si="4"/>
        <v>TijuanaMexicali</v>
      </c>
      <c r="D155" s="17">
        <v>751</v>
      </c>
      <c r="E155" s="1"/>
      <c r="F155" s="1"/>
    </row>
    <row r="156" spans="1:6" hidden="1" x14ac:dyDescent="0.3">
      <c r="A156" s="16" t="s">
        <v>40</v>
      </c>
      <c r="B156" s="32" t="s">
        <v>13</v>
      </c>
      <c r="C156" s="1" t="str">
        <f t="shared" si="4"/>
        <v>AltamiraSucursales</v>
      </c>
      <c r="D156" s="17">
        <v>751</v>
      </c>
      <c r="E156" s="1"/>
      <c r="F156" s="1"/>
    </row>
    <row r="157" spans="1:6" hidden="1" x14ac:dyDescent="0.3">
      <c r="A157" s="16" t="s">
        <v>41</v>
      </c>
      <c r="B157" s="32" t="s">
        <v>13</v>
      </c>
      <c r="C157" s="1" t="str">
        <f t="shared" si="4"/>
        <v>ManzanilloSucursales</v>
      </c>
      <c r="D157" s="17">
        <v>751</v>
      </c>
      <c r="E157" s="1"/>
      <c r="F157" s="1"/>
    </row>
    <row r="158" spans="1:6" hidden="1" x14ac:dyDescent="0.3">
      <c r="A158" s="268"/>
      <c r="B158" s="37"/>
    </row>
    <row r="159" spans="1:6" hidden="1" x14ac:dyDescent="0.3">
      <c r="A159" s="268"/>
      <c r="B159" s="37"/>
    </row>
    <row r="160" spans="1:6" hidden="1" x14ac:dyDescent="0.3">
      <c r="A160" s="268"/>
      <c r="B160" s="37"/>
    </row>
    <row r="161" spans="1:2" hidden="1" x14ac:dyDescent="0.3">
      <c r="A161" s="268"/>
      <c r="B161" s="37"/>
    </row>
    <row r="162" spans="1:2" hidden="1" x14ac:dyDescent="0.3">
      <c r="A162" s="268"/>
      <c r="B162" s="37"/>
    </row>
    <row r="163" spans="1:2" hidden="1" x14ac:dyDescent="0.3">
      <c r="A163" s="268"/>
      <c r="B163" s="37"/>
    </row>
    <row r="164" spans="1:2" hidden="1" x14ac:dyDescent="0.3">
      <c r="A164" s="268"/>
      <c r="B164" s="37"/>
    </row>
    <row r="165" spans="1:2" hidden="1" x14ac:dyDescent="0.3">
      <c r="A165" s="268"/>
      <c r="B165" s="37"/>
    </row>
    <row r="166" spans="1:2" hidden="1" x14ac:dyDescent="0.3">
      <c r="A166" s="268"/>
      <c r="B166" s="37"/>
    </row>
    <row r="167" spans="1:2" hidden="1" x14ac:dyDescent="0.3">
      <c r="A167" s="268"/>
      <c r="B167" s="37"/>
    </row>
    <row r="168" spans="1:2" hidden="1" x14ac:dyDescent="0.3">
      <c r="A168" s="268"/>
      <c r="B168" s="37"/>
    </row>
    <row r="169" spans="1:2" hidden="1" x14ac:dyDescent="0.3">
      <c r="A169" s="268"/>
      <c r="B169" s="37"/>
    </row>
    <row r="170" spans="1:2" hidden="1" x14ac:dyDescent="0.3">
      <c r="A170" s="268"/>
      <c r="B170" s="37"/>
    </row>
    <row r="171" spans="1:2" hidden="1" x14ac:dyDescent="0.3">
      <c r="A171" s="268"/>
      <c r="B171" s="37"/>
    </row>
    <row r="172" spans="1:2" hidden="1" x14ac:dyDescent="0.3">
      <c r="A172" s="268"/>
      <c r="B172" s="37"/>
    </row>
    <row r="173" spans="1:2" hidden="1" x14ac:dyDescent="0.3">
      <c r="A173" s="268"/>
      <c r="B173" s="37"/>
    </row>
    <row r="174" spans="1:2" hidden="1" x14ac:dyDescent="0.3">
      <c r="A174" s="268"/>
      <c r="B174" s="37"/>
    </row>
    <row r="175" spans="1:2" hidden="1" x14ac:dyDescent="0.3">
      <c r="A175" s="268"/>
      <c r="B175" s="37"/>
    </row>
    <row r="176" spans="1:2" hidden="1" x14ac:dyDescent="0.3">
      <c r="A176" s="268"/>
      <c r="B176" s="37"/>
    </row>
    <row r="177" spans="1:2" hidden="1" x14ac:dyDescent="0.3">
      <c r="A177" s="268"/>
      <c r="B177" s="37"/>
    </row>
    <row r="178" spans="1:2" hidden="1" x14ac:dyDescent="0.3">
      <c r="A178" s="268"/>
      <c r="B178" s="37"/>
    </row>
    <row r="179" spans="1:2" hidden="1" x14ac:dyDescent="0.3">
      <c r="A179" s="268"/>
      <c r="B179" s="37"/>
    </row>
    <row r="180" spans="1:2" hidden="1" x14ac:dyDescent="0.3">
      <c r="A180" s="268"/>
      <c r="B180" s="37"/>
    </row>
    <row r="181" spans="1:2" hidden="1" x14ac:dyDescent="0.3">
      <c r="A181" s="268"/>
      <c r="B181" s="37"/>
    </row>
    <row r="182" spans="1:2" hidden="1" x14ac:dyDescent="0.3">
      <c r="A182" s="268"/>
      <c r="B182" s="37"/>
    </row>
    <row r="183" spans="1:2" hidden="1" x14ac:dyDescent="0.3">
      <c r="A183" s="268"/>
      <c r="B183" s="37"/>
    </row>
    <row r="184" spans="1:2" hidden="1" x14ac:dyDescent="0.3">
      <c r="A184" s="268"/>
      <c r="B184" s="37"/>
    </row>
    <row r="185" spans="1:2" hidden="1" x14ac:dyDescent="0.3">
      <c r="A185" s="268"/>
      <c r="B185" s="37"/>
    </row>
    <row r="186" spans="1:2" hidden="1" x14ac:dyDescent="0.3">
      <c r="A186" s="268"/>
      <c r="B186" s="37"/>
    </row>
    <row r="187" spans="1:2" hidden="1" x14ac:dyDescent="0.3">
      <c r="A187" s="268"/>
      <c r="B187" s="37"/>
    </row>
    <row r="188" spans="1:2" hidden="1" x14ac:dyDescent="0.3">
      <c r="A188" s="268"/>
      <c r="B188" s="37"/>
    </row>
    <row r="189" spans="1:2" hidden="1" x14ac:dyDescent="0.3">
      <c r="A189" s="268"/>
      <c r="B189" s="37"/>
    </row>
    <row r="190" spans="1:2" hidden="1" x14ac:dyDescent="0.3">
      <c r="A190" s="268"/>
      <c r="B190" s="37"/>
    </row>
    <row r="191" spans="1:2" hidden="1" x14ac:dyDescent="0.3">
      <c r="A191" s="268"/>
      <c r="B191" s="37"/>
    </row>
    <row r="192" spans="1:2" hidden="1" x14ac:dyDescent="0.3">
      <c r="A192" s="268"/>
      <c r="B192" s="37"/>
    </row>
    <row r="193" spans="1:13" ht="15" hidden="1" thickBot="1" x14ac:dyDescent="0.35">
      <c r="A193" s="268"/>
      <c r="F193" s="34"/>
      <c r="G193" s="34"/>
      <c r="H193" s="34"/>
      <c r="I193" s="135"/>
      <c r="J193" s="34"/>
    </row>
    <row r="194" spans="1:13" ht="15" hidden="1" thickBot="1" x14ac:dyDescent="0.35">
      <c r="A194" s="114" t="s">
        <v>285</v>
      </c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9"/>
    </row>
    <row r="195" spans="1:13" hidden="1" x14ac:dyDescent="0.3">
      <c r="A195" s="270" t="s">
        <v>284</v>
      </c>
      <c r="B195" s="271" t="s">
        <v>286</v>
      </c>
      <c r="C195" s="272" t="s">
        <v>287</v>
      </c>
      <c r="D195" s="271" t="s">
        <v>288</v>
      </c>
      <c r="E195" s="271" t="s">
        <v>27</v>
      </c>
      <c r="F195" s="271" t="s">
        <v>28</v>
      </c>
      <c r="G195" s="271" t="s">
        <v>30</v>
      </c>
      <c r="H195" s="271" t="s">
        <v>34</v>
      </c>
      <c r="I195" s="271" t="s">
        <v>33</v>
      </c>
      <c r="J195" s="271" t="s">
        <v>37</v>
      </c>
      <c r="K195" s="271" t="s">
        <v>36</v>
      </c>
      <c r="L195" s="273" t="s">
        <v>32</v>
      </c>
      <c r="M195" s="9"/>
    </row>
    <row r="196" spans="1:13" hidden="1" x14ac:dyDescent="0.3">
      <c r="A196" s="274" t="s">
        <v>29</v>
      </c>
      <c r="B196" s="49">
        <f>$B$72+D116</f>
        <v>1</v>
      </c>
      <c r="C196" s="49">
        <f>$B$73+D116</f>
        <v>1</v>
      </c>
      <c r="D196" s="49">
        <f>$B$74+D116</f>
        <v>2</v>
      </c>
      <c r="E196" s="49">
        <f>$B$75+D116</f>
        <v>2</v>
      </c>
      <c r="F196" s="49">
        <f>$B$76+D116</f>
        <v>2</v>
      </c>
      <c r="G196" s="49">
        <f>$B$77+D116</f>
        <v>2</v>
      </c>
      <c r="H196" s="49">
        <f>$B$78+D116</f>
        <v>3</v>
      </c>
      <c r="I196" s="49">
        <f>$B$79+D116</f>
        <v>4</v>
      </c>
      <c r="J196" s="49">
        <f>$B$80+D116</f>
        <v>4</v>
      </c>
      <c r="K196" s="49">
        <v>5.01</v>
      </c>
      <c r="L196" s="49">
        <f>$B$82+D116</f>
        <v>5</v>
      </c>
      <c r="M196" s="9"/>
    </row>
    <row r="197" spans="1:13" hidden="1" x14ac:dyDescent="0.3">
      <c r="A197" s="275" t="s">
        <v>289</v>
      </c>
      <c r="B197" s="49">
        <f>$B$72+D117</f>
        <v>1</v>
      </c>
      <c r="C197" s="49">
        <f>$B$73+D117</f>
        <v>1</v>
      </c>
      <c r="D197" s="49">
        <f>$B$74+D117</f>
        <v>2</v>
      </c>
      <c r="E197" s="49">
        <f>$B$75+D117</f>
        <v>2</v>
      </c>
      <c r="F197" s="49">
        <f>$B$76+D117</f>
        <v>2</v>
      </c>
      <c r="G197" s="49">
        <f>$B$77+D117</f>
        <v>2</v>
      </c>
      <c r="H197" s="49">
        <f>$B$78+D117</f>
        <v>3</v>
      </c>
      <c r="I197" s="49">
        <f>$B$79+D117</f>
        <v>4</v>
      </c>
      <c r="J197" s="49">
        <f>$B$80+D117</f>
        <v>4</v>
      </c>
      <c r="K197" s="49">
        <v>5.0199999999999996</v>
      </c>
      <c r="L197" s="49">
        <f>$B$82+D117</f>
        <v>5</v>
      </c>
    </row>
    <row r="198" spans="1:13" hidden="1" x14ac:dyDescent="0.3">
      <c r="A198" s="275" t="s">
        <v>286</v>
      </c>
      <c r="B198" s="49">
        <f>$B$72+D118</f>
        <v>1</v>
      </c>
      <c r="C198" s="49">
        <f>$B$73+D118</f>
        <v>1</v>
      </c>
      <c r="D198" s="49">
        <f>$B$74+D118</f>
        <v>2</v>
      </c>
      <c r="E198" s="49">
        <f>$B$75+D118</f>
        <v>2</v>
      </c>
      <c r="F198" s="49">
        <f>$B$76+D118</f>
        <v>2</v>
      </c>
      <c r="G198" s="49">
        <f>$B$77+D118</f>
        <v>2</v>
      </c>
      <c r="H198" s="49">
        <f>$B$78+D118</f>
        <v>3</v>
      </c>
      <c r="I198" s="49">
        <f>$B$79+D118</f>
        <v>4</v>
      </c>
      <c r="J198" s="49">
        <f>$B$80+D118</f>
        <v>4</v>
      </c>
      <c r="K198" s="49">
        <v>5.03</v>
      </c>
      <c r="L198" s="49">
        <f>$B$82+D118</f>
        <v>5</v>
      </c>
    </row>
    <row r="199" spans="1:13" hidden="1" x14ac:dyDescent="0.3">
      <c r="A199" s="275" t="s">
        <v>287</v>
      </c>
      <c r="B199" s="49">
        <f>$B$72+D119</f>
        <v>1</v>
      </c>
      <c r="C199" s="49">
        <f>$B$73+D119</f>
        <v>1</v>
      </c>
      <c r="D199" s="49">
        <f>$B$74+D119</f>
        <v>2</v>
      </c>
      <c r="E199" s="49">
        <f>$B$75+D119</f>
        <v>2</v>
      </c>
      <c r="F199" s="49">
        <f>$B$76+D119</f>
        <v>2</v>
      </c>
      <c r="G199" s="49">
        <f>$B$77+D119</f>
        <v>2</v>
      </c>
      <c r="H199" s="49">
        <f>$B$78+D119</f>
        <v>3</v>
      </c>
      <c r="I199" s="49">
        <f>$B$79+D119</f>
        <v>4</v>
      </c>
      <c r="J199" s="49">
        <f>$B$80+D119</f>
        <v>4</v>
      </c>
      <c r="K199" s="49">
        <v>5.04</v>
      </c>
      <c r="L199" s="49">
        <f>$B$82+D119</f>
        <v>5</v>
      </c>
    </row>
    <row r="200" spans="1:13" hidden="1" x14ac:dyDescent="0.3">
      <c r="A200" s="275" t="s">
        <v>288</v>
      </c>
      <c r="B200" s="16"/>
      <c r="C200" s="1"/>
      <c r="D200" s="1"/>
      <c r="E200" s="1"/>
      <c r="F200" s="17"/>
      <c r="G200" s="1"/>
      <c r="H200" s="1"/>
      <c r="I200" s="134"/>
      <c r="J200" s="130"/>
      <c r="K200" s="1"/>
      <c r="L200" s="1"/>
    </row>
    <row r="201" spans="1:13" hidden="1" x14ac:dyDescent="0.3">
      <c r="A201" s="268"/>
      <c r="F201" s="34"/>
      <c r="G201" s="34"/>
      <c r="H201" s="34"/>
      <c r="I201" s="135"/>
      <c r="J201" s="34"/>
    </row>
    <row r="202" spans="1:13" hidden="1" x14ac:dyDescent="0.3">
      <c r="F202" s="34"/>
      <c r="G202" s="34"/>
      <c r="H202" s="34"/>
      <c r="I202" s="135"/>
      <c r="J202" s="34"/>
    </row>
    <row r="203" spans="1:13" hidden="1" x14ac:dyDescent="0.3">
      <c r="A203" s="438" t="s">
        <v>250</v>
      </c>
      <c r="B203" s="439"/>
      <c r="C203" s="439"/>
      <c r="D203" s="439"/>
      <c r="E203" s="439"/>
      <c r="F203" s="440"/>
      <c r="G203" s="34"/>
      <c r="H203" s="34"/>
      <c r="I203" s="135"/>
      <c r="J203" s="34"/>
    </row>
    <row r="204" spans="1:13" hidden="1" x14ac:dyDescent="0.3">
      <c r="A204" s="128" t="s">
        <v>5</v>
      </c>
      <c r="B204" s="128" t="s">
        <v>6</v>
      </c>
      <c r="C204" s="128" t="s">
        <v>3</v>
      </c>
      <c r="D204" s="128" t="s">
        <v>42</v>
      </c>
      <c r="E204" s="128" t="s">
        <v>244</v>
      </c>
      <c r="F204" s="128" t="s">
        <v>249</v>
      </c>
      <c r="G204" s="34"/>
      <c r="H204" s="34"/>
      <c r="I204" s="135"/>
      <c r="J204" s="34"/>
    </row>
    <row r="205" spans="1:13" hidden="1" x14ac:dyDescent="0.3">
      <c r="A205" s="17" t="s">
        <v>257</v>
      </c>
      <c r="B205" s="16" t="s">
        <v>29</v>
      </c>
      <c r="C205" s="1" t="s">
        <v>43</v>
      </c>
      <c r="D205" s="1" t="s">
        <v>44</v>
      </c>
      <c r="E205" s="1" t="str">
        <f t="shared" ref="E205:E230" si="5">CONCATENATE(A205,B205,)</f>
        <v>El PasoChihuahuaEl Paso</v>
      </c>
      <c r="F205" s="17">
        <v>1</v>
      </c>
      <c r="G205" s="34"/>
      <c r="H205" s="34"/>
      <c r="I205" s="135"/>
      <c r="J205" s="34"/>
    </row>
    <row r="206" spans="1:13" hidden="1" x14ac:dyDescent="0.3">
      <c r="A206" s="17" t="s">
        <v>258</v>
      </c>
      <c r="B206" s="16" t="s">
        <v>31</v>
      </c>
      <c r="C206" s="1" t="s">
        <v>43</v>
      </c>
      <c r="D206" s="1" t="s">
        <v>45</v>
      </c>
      <c r="E206" s="1" t="str">
        <f t="shared" si="5"/>
        <v>El PasoCd. JuarezLaredo</v>
      </c>
      <c r="F206" s="17">
        <v>2</v>
      </c>
      <c r="G206" s="34"/>
      <c r="H206" s="34"/>
      <c r="I206" s="135"/>
      <c r="J206" s="34"/>
    </row>
    <row r="207" spans="1:13" hidden="1" x14ac:dyDescent="0.3">
      <c r="A207" s="17" t="s">
        <v>259</v>
      </c>
      <c r="B207" s="16" t="s">
        <v>35</v>
      </c>
      <c r="C207" s="1" t="s">
        <v>43</v>
      </c>
      <c r="D207" s="1" t="s">
        <v>46</v>
      </c>
      <c r="E207" s="1" t="str">
        <f t="shared" si="5"/>
        <v>El PasoPueblaSan Diego</v>
      </c>
      <c r="F207" s="17">
        <v>3</v>
      </c>
      <c r="G207" s="34"/>
      <c r="H207" s="34"/>
      <c r="I207" s="135"/>
      <c r="J207" s="34"/>
    </row>
    <row r="208" spans="1:13" hidden="1" x14ac:dyDescent="0.3">
      <c r="A208" s="17" t="s">
        <v>260</v>
      </c>
      <c r="B208" s="16" t="s">
        <v>29</v>
      </c>
      <c r="C208" s="1" t="s">
        <v>234</v>
      </c>
      <c r="D208" s="1" t="s">
        <v>44</v>
      </c>
      <c r="E208" s="1" t="str">
        <f t="shared" si="5"/>
        <v>El PasoNogalesEl Paso</v>
      </c>
      <c r="F208" s="17">
        <v>4</v>
      </c>
      <c r="G208" s="34"/>
      <c r="H208" s="34"/>
      <c r="I208" s="135"/>
      <c r="J208" s="34"/>
    </row>
    <row r="209" spans="1:10" hidden="1" x14ac:dyDescent="0.3">
      <c r="A209" s="17" t="s">
        <v>261</v>
      </c>
      <c r="B209" s="16" t="s">
        <v>31</v>
      </c>
      <c r="C209" s="1" t="s">
        <v>234</v>
      </c>
      <c r="D209" s="1" t="s">
        <v>45</v>
      </c>
      <c r="E209" s="1" t="str">
        <f t="shared" si="5"/>
        <v>El PasoHermosilloLaredo</v>
      </c>
      <c r="F209" s="17">
        <v>5</v>
      </c>
      <c r="G209" s="34"/>
      <c r="H209" s="34"/>
      <c r="I209" s="135"/>
      <c r="J209" s="34"/>
    </row>
    <row r="210" spans="1:10" hidden="1" x14ac:dyDescent="0.3">
      <c r="A210" s="17" t="s">
        <v>262</v>
      </c>
      <c r="B210" s="16" t="s">
        <v>35</v>
      </c>
      <c r="C210" s="1" t="s">
        <v>234</v>
      </c>
      <c r="D210" s="1" t="s">
        <v>46</v>
      </c>
      <c r="E210" s="1" t="str">
        <f t="shared" si="5"/>
        <v>LaredoSaltilloSan Diego</v>
      </c>
      <c r="F210" s="17">
        <v>6</v>
      </c>
      <c r="G210" s="34"/>
      <c r="H210" s="34"/>
      <c r="I210" s="135"/>
      <c r="J210" s="34"/>
    </row>
    <row r="211" spans="1:10" hidden="1" x14ac:dyDescent="0.3">
      <c r="A211" s="129" t="s">
        <v>263</v>
      </c>
      <c r="B211" s="16" t="s">
        <v>29</v>
      </c>
      <c r="C211" s="129" t="s">
        <v>48</v>
      </c>
      <c r="D211" s="129" t="s">
        <v>44</v>
      </c>
      <c r="E211" s="1" t="str">
        <f t="shared" si="5"/>
        <v>LaredoTorreon El Paso</v>
      </c>
      <c r="F211" s="17">
        <v>7</v>
      </c>
      <c r="G211" s="34"/>
      <c r="H211" s="34"/>
      <c r="I211" s="135"/>
      <c r="J211" s="34"/>
    </row>
    <row r="212" spans="1:10" hidden="1" x14ac:dyDescent="0.3">
      <c r="A212" s="129" t="s">
        <v>264</v>
      </c>
      <c r="B212" s="16" t="s">
        <v>31</v>
      </c>
      <c r="C212" s="129" t="s">
        <v>48</v>
      </c>
      <c r="D212" s="129" t="s">
        <v>45</v>
      </c>
      <c r="E212" s="1" t="str">
        <f t="shared" si="5"/>
        <v>LaredoMonterreyLaredo</v>
      </c>
      <c r="F212" s="17">
        <v>8</v>
      </c>
      <c r="G212" s="34"/>
      <c r="H212" s="34"/>
      <c r="I212" s="135"/>
      <c r="J212" s="34"/>
    </row>
    <row r="213" spans="1:10" hidden="1" x14ac:dyDescent="0.3">
      <c r="A213" s="129" t="s">
        <v>265</v>
      </c>
      <c r="B213" s="16" t="s">
        <v>35</v>
      </c>
      <c r="C213" s="129" t="s">
        <v>48</v>
      </c>
      <c r="D213" s="129" t="s">
        <v>46</v>
      </c>
      <c r="E213" s="1" t="str">
        <f t="shared" si="5"/>
        <v>LaredoCDMXSan Diego</v>
      </c>
      <c r="F213" s="17">
        <v>9</v>
      </c>
      <c r="G213" s="34"/>
      <c r="H213" s="34"/>
      <c r="I213" s="135"/>
      <c r="J213" s="34"/>
    </row>
    <row r="214" spans="1:10" hidden="1" x14ac:dyDescent="0.3">
      <c r="A214" s="129" t="s">
        <v>266</v>
      </c>
      <c r="B214" s="16" t="s">
        <v>29</v>
      </c>
      <c r="C214" s="129" t="s">
        <v>49</v>
      </c>
      <c r="D214" s="129" t="s">
        <v>44</v>
      </c>
      <c r="E214" s="1" t="str">
        <f t="shared" si="5"/>
        <v>LaredoPueblaEl Paso</v>
      </c>
      <c r="F214" s="17">
        <v>10</v>
      </c>
      <c r="G214" s="34"/>
      <c r="H214" s="34"/>
      <c r="I214" s="135"/>
      <c r="J214" s="34"/>
    </row>
    <row r="215" spans="1:10" hidden="1" x14ac:dyDescent="0.3">
      <c r="A215" s="129" t="s">
        <v>267</v>
      </c>
      <c r="B215" s="16" t="s">
        <v>31</v>
      </c>
      <c r="C215" s="129" t="s">
        <v>49</v>
      </c>
      <c r="D215" s="129" t="s">
        <v>45</v>
      </c>
      <c r="E215" s="1" t="str">
        <f t="shared" si="5"/>
        <v>NogalesNogalesLaredo</v>
      </c>
      <c r="F215" s="17">
        <v>11</v>
      </c>
      <c r="G215" s="34"/>
      <c r="H215" s="34"/>
      <c r="I215" s="135"/>
      <c r="J215" s="34"/>
    </row>
    <row r="216" spans="1:10" hidden="1" x14ac:dyDescent="0.3">
      <c r="A216" s="129" t="s">
        <v>268</v>
      </c>
      <c r="B216" s="16" t="s">
        <v>35</v>
      </c>
      <c r="C216" s="129" t="s">
        <v>49</v>
      </c>
      <c r="D216" s="129" t="s">
        <v>46</v>
      </c>
      <c r="E216" s="1" t="str">
        <f t="shared" si="5"/>
        <v>NogalesHermosilloSan Diego</v>
      </c>
      <c r="F216" s="17">
        <v>12</v>
      </c>
      <c r="G216" s="34"/>
      <c r="H216" s="34"/>
      <c r="I216" s="135"/>
      <c r="J216" s="34"/>
    </row>
    <row r="217" spans="1:10" hidden="1" x14ac:dyDescent="0.3">
      <c r="A217" s="17" t="s">
        <v>269</v>
      </c>
      <c r="B217" s="16" t="s">
        <v>29</v>
      </c>
      <c r="C217" s="17"/>
      <c r="D217" s="17"/>
      <c r="E217" s="1" t="str">
        <f t="shared" si="5"/>
        <v>NogalesMexicaliEl Paso</v>
      </c>
      <c r="F217" s="17">
        <v>13</v>
      </c>
      <c r="G217" s="34"/>
      <c r="H217" s="34"/>
      <c r="I217" s="135"/>
      <c r="J217" s="34"/>
    </row>
    <row r="218" spans="1:10" hidden="1" x14ac:dyDescent="0.3">
      <c r="A218" s="17" t="s">
        <v>270</v>
      </c>
      <c r="B218" s="16" t="s">
        <v>31</v>
      </c>
      <c r="C218" s="17"/>
      <c r="D218" s="17"/>
      <c r="E218" s="1" t="str">
        <f t="shared" si="5"/>
        <v>San DiegoMexicaliLaredo</v>
      </c>
      <c r="F218" s="17">
        <v>14</v>
      </c>
      <c r="G218" s="34"/>
      <c r="H218" s="34"/>
      <c r="I218" s="135"/>
      <c r="J218" s="34"/>
    </row>
    <row r="219" spans="1:10" hidden="1" x14ac:dyDescent="0.3">
      <c r="A219" s="17" t="s">
        <v>271</v>
      </c>
      <c r="B219" s="16" t="s">
        <v>35</v>
      </c>
      <c r="C219" s="17"/>
      <c r="D219" s="17"/>
      <c r="E219" s="1" t="str">
        <f t="shared" si="5"/>
        <v>San DiegoTijuanaSan Diego</v>
      </c>
      <c r="F219" s="17">
        <v>15</v>
      </c>
      <c r="G219" s="34"/>
      <c r="H219" s="34"/>
      <c r="I219" s="135"/>
      <c r="J219" s="34"/>
    </row>
    <row r="220" spans="1:10" hidden="1" x14ac:dyDescent="0.3">
      <c r="A220" s="17" t="s">
        <v>272</v>
      </c>
      <c r="B220" s="16" t="s">
        <v>38</v>
      </c>
      <c r="C220" s="17"/>
      <c r="D220" s="17"/>
      <c r="E220" s="1" t="str">
        <f t="shared" si="5"/>
        <v>MonterreyMonterreyAICM</v>
      </c>
      <c r="F220" s="17">
        <v>16</v>
      </c>
      <c r="G220" s="34"/>
      <c r="H220" s="34"/>
      <c r="I220" s="135"/>
      <c r="J220" s="34"/>
    </row>
    <row r="221" spans="1:10" hidden="1" x14ac:dyDescent="0.3">
      <c r="A221" s="17" t="s">
        <v>273</v>
      </c>
      <c r="B221" s="16" t="s">
        <v>23</v>
      </c>
      <c r="C221" s="17"/>
      <c r="D221" s="17"/>
      <c r="E221" s="1" t="str">
        <f t="shared" si="5"/>
        <v>MonterreySaltilloCd. Juarez</v>
      </c>
      <c r="F221" s="17">
        <v>17</v>
      </c>
      <c r="G221" s="34"/>
      <c r="H221" s="34"/>
      <c r="I221" s="135"/>
      <c r="J221" s="34"/>
    </row>
    <row r="222" spans="1:10" hidden="1" x14ac:dyDescent="0.3">
      <c r="A222" s="17" t="s">
        <v>274</v>
      </c>
      <c r="B222" s="16" t="s">
        <v>32</v>
      </c>
      <c r="C222" s="17"/>
      <c r="D222" s="17"/>
      <c r="E222" s="1" t="str">
        <f t="shared" si="5"/>
        <v>AICMPueblaTijuana</v>
      </c>
      <c r="F222" s="17">
        <v>18</v>
      </c>
      <c r="G222" s="34"/>
      <c r="H222" s="34"/>
      <c r="I222" s="135"/>
      <c r="J222" s="34"/>
    </row>
    <row r="223" spans="1:10" hidden="1" x14ac:dyDescent="0.3">
      <c r="A223" s="17" t="s">
        <v>275</v>
      </c>
      <c r="B223" s="16" t="s">
        <v>29</v>
      </c>
      <c r="C223" s="17"/>
      <c r="D223" s="17"/>
      <c r="E223" s="1" t="str">
        <f t="shared" si="5"/>
        <v>Cd. JuarezChihuahuaEl Paso</v>
      </c>
      <c r="F223" s="17">
        <v>19</v>
      </c>
      <c r="G223" s="34"/>
      <c r="H223" s="34"/>
      <c r="I223" s="135"/>
      <c r="J223" s="34"/>
    </row>
    <row r="224" spans="1:10" hidden="1" x14ac:dyDescent="0.3">
      <c r="A224" s="17" t="s">
        <v>276</v>
      </c>
      <c r="B224" s="16" t="s">
        <v>31</v>
      </c>
      <c r="C224" s="17"/>
      <c r="D224" s="17"/>
      <c r="E224" s="1" t="str">
        <f t="shared" si="5"/>
        <v>Cd. JuarezCd. JuarezLaredo</v>
      </c>
      <c r="F224" s="17">
        <v>20</v>
      </c>
      <c r="G224" s="34"/>
      <c r="H224" s="34"/>
      <c r="I224" s="135"/>
      <c r="J224" s="34"/>
    </row>
    <row r="225" spans="1:10" hidden="1" x14ac:dyDescent="0.3">
      <c r="A225" s="134" t="s">
        <v>277</v>
      </c>
      <c r="B225" s="16" t="s">
        <v>35</v>
      </c>
      <c r="C225" s="1"/>
      <c r="D225" s="1"/>
      <c r="E225" s="1" t="str">
        <f t="shared" si="5"/>
        <v>Cd. JuarezPueblaSan Diego</v>
      </c>
      <c r="F225" s="17">
        <v>21</v>
      </c>
      <c r="G225" s="34"/>
      <c r="H225" s="34"/>
      <c r="I225" s="135"/>
      <c r="J225" s="34"/>
    </row>
    <row r="226" spans="1:10" hidden="1" x14ac:dyDescent="0.3">
      <c r="A226" s="17" t="s">
        <v>278</v>
      </c>
      <c r="B226" s="16" t="s">
        <v>38</v>
      </c>
      <c r="C226" s="1"/>
      <c r="D226" s="1"/>
      <c r="E226" s="1" t="str">
        <f t="shared" si="5"/>
        <v>Cd. JuarezNogalesAICM</v>
      </c>
      <c r="F226" s="17">
        <v>22</v>
      </c>
      <c r="G226" s="34"/>
      <c r="H226" s="34"/>
      <c r="I226" s="135"/>
      <c r="J226" s="34"/>
    </row>
    <row r="227" spans="1:10" hidden="1" x14ac:dyDescent="0.3">
      <c r="A227" s="17" t="s">
        <v>279</v>
      </c>
      <c r="B227" s="16" t="s">
        <v>23</v>
      </c>
      <c r="C227" s="1"/>
      <c r="D227" s="1"/>
      <c r="E227" s="1" t="str">
        <f t="shared" si="5"/>
        <v>TijuanaTijuanaCd. Juarez</v>
      </c>
      <c r="F227" s="17">
        <v>23</v>
      </c>
      <c r="G227" s="34"/>
      <c r="H227" s="34"/>
      <c r="I227" s="135"/>
      <c r="J227" s="34"/>
    </row>
    <row r="228" spans="1:10" hidden="1" x14ac:dyDescent="0.3">
      <c r="A228" s="134" t="s">
        <v>280</v>
      </c>
      <c r="B228" s="16" t="s">
        <v>32</v>
      </c>
      <c r="C228" s="1"/>
      <c r="D228" s="1"/>
      <c r="E228" s="1" t="str">
        <f t="shared" si="5"/>
        <v>TijuanaMexicaliTijuana</v>
      </c>
      <c r="F228" s="17">
        <v>24</v>
      </c>
      <c r="G228" s="34"/>
      <c r="H228" s="34"/>
      <c r="I228" s="135"/>
      <c r="J228" s="34"/>
    </row>
    <row r="229" spans="1:10" hidden="1" x14ac:dyDescent="0.3">
      <c r="A229" s="134" t="s">
        <v>281</v>
      </c>
      <c r="B229" s="16" t="s">
        <v>40</v>
      </c>
      <c r="C229" s="1"/>
      <c r="D229" s="1"/>
      <c r="E229" s="1" t="str">
        <f t="shared" si="5"/>
        <v>AltamiraSucursalesAltamira</v>
      </c>
      <c r="F229" s="17">
        <v>25</v>
      </c>
      <c r="G229" s="34"/>
      <c r="H229" s="34"/>
      <c r="I229" s="135"/>
      <c r="J229" s="34"/>
    </row>
    <row r="230" spans="1:10" hidden="1" x14ac:dyDescent="0.3">
      <c r="A230" s="134" t="s">
        <v>282</v>
      </c>
      <c r="B230" s="16" t="s">
        <v>41</v>
      </c>
      <c r="C230" s="1"/>
      <c r="D230" s="1"/>
      <c r="E230" s="1" t="str">
        <f t="shared" si="5"/>
        <v>ManzanilloSucursalesManzanillo</v>
      </c>
      <c r="F230" s="17">
        <v>26</v>
      </c>
      <c r="G230" s="34"/>
      <c r="H230" s="34"/>
      <c r="I230" s="135"/>
      <c r="J230" s="34"/>
    </row>
    <row r="231" spans="1:10" x14ac:dyDescent="0.3">
      <c r="F231" s="34"/>
      <c r="G231" s="34"/>
      <c r="H231" s="34"/>
      <c r="I231" s="135"/>
      <c r="J231" s="34"/>
    </row>
    <row r="232" spans="1:10" x14ac:dyDescent="0.3">
      <c r="F232" s="34"/>
      <c r="G232" s="34"/>
      <c r="H232" s="34"/>
      <c r="I232" s="135"/>
      <c r="J232" s="34"/>
    </row>
    <row r="233" spans="1:10" x14ac:dyDescent="0.3">
      <c r="F233" s="34"/>
      <c r="G233" s="34"/>
      <c r="H233" s="34"/>
      <c r="I233" s="135"/>
      <c r="J233" s="34"/>
    </row>
    <row r="234" spans="1:10" x14ac:dyDescent="0.3">
      <c r="F234" s="34"/>
      <c r="G234" s="34"/>
      <c r="H234" s="34"/>
      <c r="I234" s="135"/>
      <c r="J234" s="34"/>
    </row>
    <row r="235" spans="1:10" x14ac:dyDescent="0.3">
      <c r="F235" s="34"/>
      <c r="G235" s="34"/>
      <c r="H235" s="34"/>
      <c r="I235" s="135"/>
      <c r="J235" s="34"/>
    </row>
    <row r="236" spans="1:10" x14ac:dyDescent="0.3">
      <c r="F236" s="34"/>
      <c r="G236" s="34"/>
      <c r="H236" s="34"/>
      <c r="I236" s="135"/>
      <c r="J236" s="34"/>
    </row>
    <row r="237" spans="1:10" x14ac:dyDescent="0.3">
      <c r="F237" s="34"/>
      <c r="G237" s="34"/>
      <c r="H237" s="34"/>
      <c r="I237" s="135"/>
      <c r="J237" s="34"/>
    </row>
    <row r="238" spans="1:10" x14ac:dyDescent="0.3">
      <c r="F238" s="34"/>
      <c r="G238" s="34"/>
      <c r="H238" s="34"/>
      <c r="I238" s="135"/>
      <c r="J238" s="34"/>
    </row>
    <row r="239" spans="1:10" x14ac:dyDescent="0.3">
      <c r="F239" s="34"/>
      <c r="G239" s="34"/>
      <c r="H239" s="34"/>
      <c r="I239" s="135"/>
      <c r="J239" s="34"/>
    </row>
    <row r="240" spans="1:10" x14ac:dyDescent="0.3">
      <c r="F240" s="34"/>
      <c r="G240" s="34"/>
      <c r="H240" s="34"/>
      <c r="I240" s="135"/>
      <c r="J240" s="34"/>
    </row>
    <row r="241" spans="6:10" x14ac:dyDescent="0.3">
      <c r="F241" s="34"/>
      <c r="G241" s="34"/>
      <c r="H241" s="34"/>
      <c r="I241" s="135"/>
      <c r="J241" s="34"/>
    </row>
    <row r="242" spans="6:10" x14ac:dyDescent="0.3">
      <c r="F242" s="34"/>
      <c r="G242" s="34"/>
      <c r="H242" s="34"/>
      <c r="I242" s="135"/>
      <c r="J242" s="34"/>
    </row>
    <row r="243" spans="6:10" x14ac:dyDescent="0.3">
      <c r="F243" s="34"/>
      <c r="G243" s="34"/>
      <c r="H243" s="34"/>
      <c r="I243" s="135"/>
      <c r="J243" s="34"/>
    </row>
    <row r="244" spans="6:10" x14ac:dyDescent="0.3">
      <c r="F244" s="34"/>
      <c r="G244" s="34"/>
      <c r="H244" s="34"/>
      <c r="I244" s="135"/>
      <c r="J244" s="34"/>
    </row>
    <row r="245" spans="6:10" x14ac:dyDescent="0.3">
      <c r="F245" s="34"/>
      <c r="G245" s="34"/>
      <c r="H245" s="34"/>
      <c r="I245" s="135"/>
      <c r="J245" s="34"/>
    </row>
    <row r="246" spans="6:10" x14ac:dyDescent="0.3">
      <c r="F246" s="34"/>
      <c r="G246" s="34"/>
      <c r="H246" s="34"/>
      <c r="I246" s="135"/>
      <c r="J246" s="34"/>
    </row>
    <row r="247" spans="6:10" x14ac:dyDescent="0.3">
      <c r="F247" s="34"/>
      <c r="G247" s="34"/>
      <c r="H247" s="34"/>
      <c r="I247" s="135"/>
      <c r="J247" s="34"/>
    </row>
    <row r="248" spans="6:10" x14ac:dyDescent="0.3">
      <c r="F248" s="34"/>
      <c r="G248" s="34"/>
      <c r="H248" s="34"/>
      <c r="I248" s="135"/>
      <c r="J248" s="34"/>
    </row>
    <row r="249" spans="6:10" x14ac:dyDescent="0.3">
      <c r="F249" s="34"/>
      <c r="G249" s="34"/>
      <c r="H249" s="34"/>
      <c r="I249" s="135"/>
      <c r="J249" s="34"/>
    </row>
    <row r="250" spans="6:10" x14ac:dyDescent="0.3">
      <c r="F250" s="34"/>
      <c r="G250" s="34"/>
      <c r="H250" s="34"/>
      <c r="I250" s="135"/>
      <c r="J250" s="34"/>
    </row>
    <row r="251" spans="6:10" x14ac:dyDescent="0.3">
      <c r="F251" s="34"/>
      <c r="G251" s="34"/>
      <c r="H251" s="34"/>
      <c r="I251" s="135"/>
      <c r="J251" s="34"/>
    </row>
    <row r="252" spans="6:10" x14ac:dyDescent="0.3">
      <c r="F252" s="34"/>
      <c r="G252" s="34"/>
      <c r="H252" s="34"/>
      <c r="I252" s="135"/>
      <c r="J252" s="34"/>
    </row>
    <row r="253" spans="6:10" x14ac:dyDescent="0.3">
      <c r="F253" s="34"/>
      <c r="G253" s="34"/>
      <c r="H253" s="34"/>
      <c r="I253" s="135"/>
      <c r="J253" s="34"/>
    </row>
    <row r="254" spans="6:10" x14ac:dyDescent="0.3">
      <c r="F254" s="34"/>
      <c r="G254" s="34"/>
      <c r="H254" s="34"/>
      <c r="I254" s="135"/>
      <c r="J254" s="34"/>
    </row>
    <row r="255" spans="6:10" x14ac:dyDescent="0.3">
      <c r="F255" s="34"/>
      <c r="G255" s="34"/>
      <c r="H255" s="34"/>
      <c r="I255" s="135"/>
      <c r="J255" s="34"/>
    </row>
    <row r="256" spans="6:10" x14ac:dyDescent="0.3">
      <c r="F256" s="34"/>
      <c r="G256" s="34"/>
      <c r="H256" s="34"/>
      <c r="I256" s="135"/>
      <c r="J256" s="34"/>
    </row>
    <row r="257" spans="6:10" x14ac:dyDescent="0.3">
      <c r="F257" s="34"/>
      <c r="G257" s="34"/>
      <c r="H257" s="34"/>
      <c r="I257" s="135"/>
      <c r="J257" s="34"/>
    </row>
    <row r="258" spans="6:10" x14ac:dyDescent="0.3">
      <c r="F258" s="34"/>
      <c r="G258" s="34"/>
      <c r="H258" s="34"/>
      <c r="I258" s="135"/>
      <c r="J258" s="34"/>
    </row>
    <row r="259" spans="6:10" x14ac:dyDescent="0.3">
      <c r="F259" s="34"/>
      <c r="G259" s="34"/>
      <c r="H259" s="34"/>
      <c r="I259" s="135"/>
      <c r="J259" s="34"/>
    </row>
    <row r="260" spans="6:10" x14ac:dyDescent="0.3">
      <c r="F260" s="34"/>
      <c r="G260" s="34"/>
      <c r="H260" s="34"/>
      <c r="I260" s="135"/>
      <c r="J260" s="34"/>
    </row>
    <row r="261" spans="6:10" x14ac:dyDescent="0.3">
      <c r="F261" s="34"/>
      <c r="G261" s="34"/>
      <c r="H261" s="34"/>
      <c r="I261" s="135"/>
      <c r="J261" s="34"/>
    </row>
    <row r="262" spans="6:10" x14ac:dyDescent="0.3">
      <c r="F262" s="34"/>
      <c r="G262" s="34"/>
      <c r="H262" s="34"/>
      <c r="I262" s="135"/>
      <c r="J262" s="34"/>
    </row>
    <row r="263" spans="6:10" x14ac:dyDescent="0.3">
      <c r="F263" s="34"/>
      <c r="G263" s="34"/>
      <c r="H263" s="34"/>
      <c r="I263" s="135"/>
      <c r="J263" s="34"/>
    </row>
    <row r="264" spans="6:10" x14ac:dyDescent="0.3">
      <c r="F264" s="34"/>
      <c r="G264" s="34"/>
      <c r="H264" s="34"/>
      <c r="I264" s="135"/>
      <c r="J264" s="34"/>
    </row>
    <row r="265" spans="6:10" x14ac:dyDescent="0.3">
      <c r="F265" s="34"/>
      <c r="G265" s="34"/>
      <c r="H265" s="34"/>
      <c r="I265" s="135"/>
      <c r="J265" s="34"/>
    </row>
    <row r="266" spans="6:10" x14ac:dyDescent="0.3">
      <c r="F266" s="34"/>
      <c r="G266" s="34"/>
      <c r="H266" s="34"/>
      <c r="I266" s="135"/>
      <c r="J266" s="34"/>
    </row>
    <row r="267" spans="6:10" x14ac:dyDescent="0.3">
      <c r="F267" s="34"/>
      <c r="G267" s="34"/>
      <c r="H267" s="34"/>
      <c r="I267" s="135"/>
      <c r="J267" s="34"/>
    </row>
    <row r="268" spans="6:10" x14ac:dyDescent="0.3">
      <c r="F268" s="34"/>
      <c r="G268" s="34"/>
      <c r="H268" s="34"/>
      <c r="I268" s="135"/>
      <c r="J268" s="34"/>
    </row>
    <row r="269" spans="6:10" x14ac:dyDescent="0.3">
      <c r="F269" s="34"/>
      <c r="G269" s="34"/>
      <c r="H269" s="34"/>
      <c r="I269" s="135"/>
      <c r="J269" s="34"/>
    </row>
    <row r="270" spans="6:10" x14ac:dyDescent="0.3">
      <c r="F270" s="34"/>
      <c r="G270" s="34"/>
      <c r="H270" s="34"/>
      <c r="I270" s="135"/>
      <c r="J270" s="34"/>
    </row>
    <row r="271" spans="6:10" x14ac:dyDescent="0.3">
      <c r="F271" s="34"/>
      <c r="G271" s="34"/>
      <c r="H271" s="34"/>
      <c r="I271" s="135"/>
      <c r="J271" s="34"/>
    </row>
    <row r="272" spans="6:10" x14ac:dyDescent="0.3">
      <c r="F272" s="34"/>
      <c r="G272" s="34"/>
      <c r="H272" s="34"/>
      <c r="I272" s="135"/>
      <c r="J272" s="34"/>
    </row>
    <row r="273" spans="6:10" x14ac:dyDescent="0.3">
      <c r="F273" s="34"/>
      <c r="G273" s="34"/>
      <c r="H273" s="34"/>
      <c r="I273" s="135"/>
      <c r="J273" s="34"/>
    </row>
    <row r="274" spans="6:10" x14ac:dyDescent="0.3">
      <c r="F274" s="34"/>
      <c r="G274" s="34"/>
      <c r="H274" s="34"/>
      <c r="I274" s="135"/>
      <c r="J274" s="34"/>
    </row>
    <row r="275" spans="6:10" x14ac:dyDescent="0.3">
      <c r="F275" s="34"/>
      <c r="G275" s="34"/>
      <c r="H275" s="34"/>
      <c r="I275" s="135"/>
      <c r="J275" s="34"/>
    </row>
    <row r="276" spans="6:10" x14ac:dyDescent="0.3">
      <c r="F276" s="34"/>
      <c r="G276" s="34"/>
      <c r="H276" s="34"/>
      <c r="I276" s="135"/>
      <c r="J276" s="34"/>
    </row>
    <row r="277" spans="6:10" x14ac:dyDescent="0.3">
      <c r="F277" s="34"/>
      <c r="G277" s="34"/>
      <c r="H277" s="34"/>
      <c r="I277" s="135"/>
      <c r="J277" s="34"/>
    </row>
    <row r="278" spans="6:10" x14ac:dyDescent="0.3">
      <c r="F278" s="34"/>
      <c r="G278" s="34"/>
      <c r="H278" s="34"/>
      <c r="I278" s="135"/>
      <c r="J278" s="34"/>
    </row>
    <row r="279" spans="6:10" x14ac:dyDescent="0.3">
      <c r="F279" s="34"/>
      <c r="G279" s="34"/>
      <c r="H279" s="34"/>
      <c r="I279" s="135"/>
      <c r="J279" s="34"/>
    </row>
    <row r="280" spans="6:10" x14ac:dyDescent="0.3">
      <c r="F280" s="34"/>
      <c r="G280" s="34"/>
      <c r="H280" s="34"/>
      <c r="I280" s="135"/>
      <c r="J280" s="34"/>
    </row>
    <row r="281" spans="6:10" x14ac:dyDescent="0.3">
      <c r="F281" s="34"/>
      <c r="G281" s="34"/>
      <c r="H281" s="34"/>
      <c r="I281" s="135"/>
      <c r="J281" s="34"/>
    </row>
    <row r="282" spans="6:10" x14ac:dyDescent="0.3">
      <c r="F282" s="34"/>
      <c r="G282" s="34"/>
      <c r="H282" s="34"/>
      <c r="I282" s="135"/>
      <c r="J282" s="34"/>
    </row>
    <row r="283" spans="6:10" x14ac:dyDescent="0.3">
      <c r="F283" s="34"/>
      <c r="G283" s="34"/>
      <c r="H283" s="34"/>
      <c r="I283" s="135"/>
      <c r="J283" s="34"/>
    </row>
    <row r="284" spans="6:10" x14ac:dyDescent="0.3">
      <c r="F284" s="34"/>
      <c r="G284" s="34"/>
      <c r="H284" s="34"/>
      <c r="I284" s="135"/>
      <c r="J284" s="34"/>
    </row>
    <row r="285" spans="6:10" x14ac:dyDescent="0.3">
      <c r="F285" s="34"/>
      <c r="G285" s="34"/>
      <c r="H285" s="34"/>
      <c r="I285" s="135"/>
      <c r="J285" s="34"/>
    </row>
    <row r="286" spans="6:10" x14ac:dyDescent="0.3">
      <c r="F286" s="34"/>
      <c r="G286" s="34"/>
      <c r="H286" s="34"/>
      <c r="I286" s="135"/>
      <c r="J286" s="34"/>
    </row>
    <row r="287" spans="6:10" x14ac:dyDescent="0.3">
      <c r="F287" s="34"/>
      <c r="G287" s="34"/>
      <c r="H287" s="34"/>
      <c r="I287" s="135"/>
      <c r="J287" s="34"/>
    </row>
    <row r="288" spans="6:10" x14ac:dyDescent="0.3">
      <c r="F288" s="34"/>
      <c r="G288" s="34"/>
      <c r="H288" s="34"/>
      <c r="I288" s="135"/>
      <c r="J288" s="34"/>
    </row>
    <row r="289" spans="1:20" x14ac:dyDescent="0.3">
      <c r="F289" s="34"/>
      <c r="G289" s="34"/>
      <c r="H289" s="34"/>
      <c r="I289" s="135"/>
      <c r="J289" s="34"/>
    </row>
    <row r="290" spans="1:20" x14ac:dyDescent="0.3">
      <c r="F290" s="34"/>
      <c r="G290" s="34"/>
      <c r="H290" s="34"/>
      <c r="I290" s="135"/>
      <c r="J290" s="34"/>
    </row>
    <row r="291" spans="1:20" x14ac:dyDescent="0.3">
      <c r="F291" s="34"/>
      <c r="G291" s="34"/>
      <c r="H291" s="34"/>
      <c r="I291" s="135"/>
      <c r="J291" s="34"/>
    </row>
    <row r="292" spans="1:20" x14ac:dyDescent="0.3">
      <c r="F292" s="34"/>
      <c r="G292" s="34"/>
      <c r="H292" s="34"/>
      <c r="I292" s="135"/>
      <c r="J292" s="34"/>
    </row>
    <row r="293" spans="1:20" x14ac:dyDescent="0.3">
      <c r="F293" s="34"/>
      <c r="G293" s="34"/>
      <c r="H293" s="34"/>
      <c r="I293" s="135"/>
      <c r="J293" s="34"/>
    </row>
    <row r="294" spans="1:20" x14ac:dyDescent="0.3">
      <c r="F294" s="34"/>
      <c r="G294" s="34"/>
      <c r="H294" s="34"/>
      <c r="I294" s="135"/>
      <c r="J294" s="34"/>
    </row>
    <row r="295" spans="1:20" x14ac:dyDescent="0.3">
      <c r="F295" s="34"/>
      <c r="G295" s="34"/>
      <c r="H295" s="34"/>
      <c r="I295" s="135"/>
      <c r="J295" s="34"/>
    </row>
    <row r="296" spans="1:20" ht="15" thickBot="1" x14ac:dyDescent="0.35">
      <c r="F296" s="34"/>
      <c r="G296" s="34"/>
      <c r="H296" s="34"/>
      <c r="I296" s="135"/>
      <c r="J296" s="34"/>
    </row>
    <row r="297" spans="1:20" ht="15" thickBot="1" x14ac:dyDescent="0.35">
      <c r="A297" s="435" t="s">
        <v>235</v>
      </c>
      <c r="B297" s="436"/>
      <c r="C297" s="436"/>
      <c r="D297" s="436"/>
      <c r="E297" s="437"/>
      <c r="F297" s="34"/>
      <c r="G297" s="34"/>
      <c r="H297" s="34"/>
    </row>
    <row r="298" spans="1:20" x14ac:dyDescent="0.3">
      <c r="A298" s="237" t="s">
        <v>15</v>
      </c>
      <c r="B298" s="196" t="s">
        <v>236</v>
      </c>
      <c r="C298" s="196" t="s">
        <v>100</v>
      </c>
      <c r="D298" s="196" t="s">
        <v>230</v>
      </c>
      <c r="E298" s="196" t="s">
        <v>231</v>
      </c>
      <c r="F298" s="34"/>
      <c r="G298" s="34"/>
      <c r="H298" s="34"/>
      <c r="I298" s="34"/>
      <c r="J298" s="34"/>
    </row>
    <row r="299" spans="1:20" x14ac:dyDescent="0.3">
      <c r="A299" s="276" t="s">
        <v>4</v>
      </c>
      <c r="B299" s="132">
        <v>53</v>
      </c>
      <c r="C299" s="277">
        <v>0</v>
      </c>
      <c r="D299" s="277">
        <v>0</v>
      </c>
      <c r="E299" s="277">
        <v>0</v>
      </c>
      <c r="F299" s="34"/>
      <c r="G299" s="34"/>
      <c r="H299" s="34"/>
      <c r="I299" s="34"/>
      <c r="J299" s="34"/>
    </row>
    <row r="300" spans="1:20" x14ac:dyDescent="0.3">
      <c r="A300" s="276" t="s">
        <v>4</v>
      </c>
      <c r="B300" s="132">
        <v>20</v>
      </c>
      <c r="C300" s="277">
        <v>0</v>
      </c>
      <c r="D300" s="277">
        <v>0</v>
      </c>
      <c r="E300" s="277">
        <v>0</v>
      </c>
      <c r="F300" s="34"/>
      <c r="G300" s="34"/>
      <c r="H300" s="34"/>
      <c r="I300" s="34"/>
      <c r="J300" s="34"/>
    </row>
    <row r="301" spans="1:20" ht="15" thickBot="1" x14ac:dyDescent="0.35">
      <c r="A301" s="276" t="s">
        <v>4</v>
      </c>
      <c r="B301" s="132">
        <v>3.5</v>
      </c>
      <c r="C301" s="277">
        <v>0</v>
      </c>
      <c r="D301" s="277">
        <v>0</v>
      </c>
      <c r="E301" s="277">
        <v>0</v>
      </c>
      <c r="F301" s="34"/>
      <c r="G301" s="34"/>
      <c r="H301" s="34"/>
      <c r="I301" s="34"/>
      <c r="J301" s="34"/>
    </row>
    <row r="302" spans="1:20" x14ac:dyDescent="0.3">
      <c r="A302" s="237" t="s">
        <v>15</v>
      </c>
      <c r="B302" s="196" t="s">
        <v>236</v>
      </c>
      <c r="C302" s="196" t="s">
        <v>100</v>
      </c>
      <c r="D302" s="196" t="s">
        <v>230</v>
      </c>
      <c r="E302" s="196" t="s">
        <v>231</v>
      </c>
      <c r="F302" s="34"/>
      <c r="G302" s="34"/>
      <c r="H302" s="34"/>
      <c r="I302" s="34"/>
      <c r="J302" s="34"/>
      <c r="K302" s="37"/>
    </row>
    <row r="303" spans="1:20" x14ac:dyDescent="0.3">
      <c r="A303" s="276" t="s">
        <v>69</v>
      </c>
      <c r="B303" s="132">
        <v>53</v>
      </c>
      <c r="C303" s="277">
        <v>0</v>
      </c>
      <c r="D303" s="277">
        <v>0</v>
      </c>
      <c r="E303" s="277">
        <v>0</v>
      </c>
      <c r="F303" s="34"/>
      <c r="G303" s="34"/>
      <c r="H303" s="34"/>
      <c r="I303" s="34"/>
      <c r="J303" s="34"/>
      <c r="K303" s="37"/>
    </row>
    <row r="304" spans="1:20" s="9" customFormat="1" x14ac:dyDescent="0.3">
      <c r="A304" s="276" t="s">
        <v>69</v>
      </c>
      <c r="B304" s="132">
        <v>20</v>
      </c>
      <c r="C304" s="277">
        <v>0</v>
      </c>
      <c r="D304" s="277">
        <v>0</v>
      </c>
      <c r="E304" s="277">
        <v>0</v>
      </c>
      <c r="F304" s="34"/>
      <c r="G304" s="34"/>
      <c r="H304" s="34"/>
      <c r="I304" s="34"/>
      <c r="J304" s="34"/>
      <c r="K304" s="37"/>
      <c r="L304"/>
      <c r="M304"/>
      <c r="S304" s="37"/>
      <c r="T304" s="37"/>
    </row>
    <row r="305" spans="1:20" s="9" customFormat="1" ht="15" thickBot="1" x14ac:dyDescent="0.35">
      <c r="A305" s="276" t="s">
        <v>69</v>
      </c>
      <c r="B305" s="132">
        <v>3.5</v>
      </c>
      <c r="C305" s="277">
        <v>0</v>
      </c>
      <c r="D305" s="277">
        <v>0</v>
      </c>
      <c r="E305" s="277">
        <v>0</v>
      </c>
      <c r="F305" s="34"/>
      <c r="G305" s="34"/>
      <c r="H305" s="34"/>
      <c r="I305" s="34"/>
      <c r="J305" s="34"/>
      <c r="K305" s="37"/>
      <c r="L305"/>
      <c r="M305"/>
      <c r="S305" s="37"/>
      <c r="T305" s="37"/>
    </row>
    <row r="306" spans="1:20" s="9" customFormat="1" x14ac:dyDescent="0.3">
      <c r="A306" s="237" t="s">
        <v>15</v>
      </c>
      <c r="B306" s="196" t="s">
        <v>236</v>
      </c>
      <c r="C306" s="196" t="s">
        <v>100</v>
      </c>
      <c r="D306" s="196" t="s">
        <v>230</v>
      </c>
      <c r="E306" s="196" t="s">
        <v>231</v>
      </c>
      <c r="F306" s="34"/>
      <c r="G306" s="34"/>
      <c r="H306" s="34"/>
      <c r="I306" s="34"/>
      <c r="J306" s="34"/>
      <c r="K306" s="37"/>
      <c r="L306"/>
      <c r="M306"/>
      <c r="S306" s="37"/>
      <c r="T306" s="37"/>
    </row>
    <row r="307" spans="1:20" s="9" customFormat="1" x14ac:dyDescent="0.3">
      <c r="A307" s="276" t="s">
        <v>50</v>
      </c>
      <c r="B307" s="132">
        <v>53</v>
      </c>
      <c r="C307" s="277">
        <v>0</v>
      </c>
      <c r="D307" s="277">
        <v>0</v>
      </c>
      <c r="E307" s="277">
        <v>0</v>
      </c>
      <c r="F307" s="34"/>
      <c r="G307" s="34"/>
      <c r="H307" s="34"/>
      <c r="I307" s="34"/>
      <c r="J307" s="34"/>
      <c r="K307" s="37"/>
      <c r="L307"/>
      <c r="M307"/>
      <c r="S307" s="37"/>
      <c r="T307" s="37"/>
    </row>
    <row r="308" spans="1:20" s="9" customFormat="1" x14ac:dyDescent="0.3">
      <c r="A308" s="276" t="s">
        <v>50</v>
      </c>
      <c r="B308" s="132">
        <v>20</v>
      </c>
      <c r="C308" s="277">
        <v>0</v>
      </c>
      <c r="D308" s="277">
        <v>0</v>
      </c>
      <c r="E308" s="277">
        <v>0</v>
      </c>
      <c r="F308" s="34"/>
      <c r="G308" s="34"/>
      <c r="H308" s="34"/>
      <c r="I308" s="34"/>
      <c r="J308" s="34"/>
      <c r="K308" s="37"/>
      <c r="L308"/>
      <c r="M308"/>
      <c r="S308" s="37"/>
      <c r="T308" s="37"/>
    </row>
    <row r="309" spans="1:20" s="9" customFormat="1" ht="15" thickBot="1" x14ac:dyDescent="0.35">
      <c r="A309" s="276" t="s">
        <v>50</v>
      </c>
      <c r="B309" s="132">
        <v>3.5</v>
      </c>
      <c r="C309" s="277">
        <v>0</v>
      </c>
      <c r="D309" s="277">
        <v>0</v>
      </c>
      <c r="E309" s="277">
        <v>0</v>
      </c>
      <c r="F309" s="34"/>
      <c r="G309" s="34"/>
      <c r="H309" s="34"/>
      <c r="I309" s="34"/>
      <c r="J309" s="34"/>
      <c r="K309" s="37"/>
      <c r="L309"/>
      <c r="M309"/>
      <c r="S309" s="37"/>
      <c r="T309" s="37"/>
    </row>
    <row r="310" spans="1:20" x14ac:dyDescent="0.3">
      <c r="A310" s="237" t="s">
        <v>15</v>
      </c>
      <c r="B310" s="196" t="s">
        <v>236</v>
      </c>
      <c r="C310" s="196" t="s">
        <v>100</v>
      </c>
      <c r="D310" s="196" t="s">
        <v>230</v>
      </c>
      <c r="E310" s="196" t="s">
        <v>231</v>
      </c>
      <c r="F310" s="34"/>
      <c r="G310" s="34"/>
      <c r="H310" s="9"/>
      <c r="I310" s="9"/>
      <c r="J310" s="9"/>
      <c r="K310" s="9"/>
      <c r="L310" s="9"/>
      <c r="M310" s="9"/>
    </row>
    <row r="311" spans="1:20" x14ac:dyDescent="0.3">
      <c r="A311" s="276" t="s">
        <v>238</v>
      </c>
      <c r="B311" s="132">
        <v>53</v>
      </c>
      <c r="C311" s="277">
        <v>0</v>
      </c>
      <c r="D311" s="277">
        <v>0</v>
      </c>
      <c r="E311" s="277">
        <v>0</v>
      </c>
      <c r="F311" s="34"/>
      <c r="G311" s="34"/>
      <c r="H311" s="9"/>
      <c r="I311" s="9"/>
      <c r="J311" s="9"/>
      <c r="K311" s="9"/>
      <c r="L311" s="9"/>
      <c r="M311" s="9"/>
    </row>
    <row r="312" spans="1:20" x14ac:dyDescent="0.3">
      <c r="A312" s="276" t="s">
        <v>238</v>
      </c>
      <c r="B312" s="132">
        <v>20</v>
      </c>
      <c r="C312" s="277">
        <v>0</v>
      </c>
      <c r="D312" s="277">
        <v>0</v>
      </c>
      <c r="E312" s="277">
        <v>0</v>
      </c>
      <c r="F312" s="34"/>
      <c r="G312" s="34"/>
      <c r="H312" s="9"/>
      <c r="I312" s="9"/>
      <c r="J312" s="9"/>
      <c r="K312" s="9"/>
      <c r="L312" s="9"/>
      <c r="M312" s="9"/>
    </row>
    <row r="313" spans="1:20" s="9" customFormat="1" ht="15" thickBot="1" x14ac:dyDescent="0.35">
      <c r="A313" s="276" t="s">
        <v>238</v>
      </c>
      <c r="B313" s="132">
        <v>3.5</v>
      </c>
      <c r="C313" s="277">
        <v>0</v>
      </c>
      <c r="D313" s="277">
        <v>0</v>
      </c>
      <c r="E313" s="277">
        <v>0</v>
      </c>
      <c r="F313" s="34"/>
      <c r="G313" s="34"/>
      <c r="S313" s="37"/>
      <c r="T313" s="37"/>
    </row>
    <row r="314" spans="1:20" s="9" customFormat="1" x14ac:dyDescent="0.3">
      <c r="A314" s="237" t="s">
        <v>15</v>
      </c>
      <c r="B314" s="196" t="s">
        <v>240</v>
      </c>
      <c r="C314" s="196" t="s">
        <v>241</v>
      </c>
      <c r="D314" s="278"/>
      <c r="E314" s="279"/>
      <c r="F314" s="34"/>
      <c r="G314" s="34"/>
      <c r="S314" s="37"/>
      <c r="T314" s="37"/>
    </row>
    <row r="315" spans="1:20" s="9" customFormat="1" x14ac:dyDescent="0.3">
      <c r="A315" s="132" t="s">
        <v>20</v>
      </c>
      <c r="B315" s="132">
        <v>1</v>
      </c>
      <c r="C315" s="280">
        <f>787+221</f>
        <v>1008</v>
      </c>
      <c r="D315" s="281"/>
      <c r="E315" s="130"/>
      <c r="F315" s="34"/>
      <c r="G315" s="34"/>
      <c r="S315" s="37"/>
      <c r="T315" s="37"/>
    </row>
    <row r="316" spans="1:20" s="9" customFormat="1" x14ac:dyDescent="0.3">
      <c r="A316" s="132" t="s">
        <v>20</v>
      </c>
      <c r="B316" s="132">
        <v>2</v>
      </c>
      <c r="C316" s="280">
        <f>$C$315*B316</f>
        <v>2016</v>
      </c>
      <c r="D316" s="281"/>
      <c r="E316" s="130"/>
      <c r="F316"/>
      <c r="G316"/>
      <c r="H316"/>
      <c r="I316"/>
      <c r="J316"/>
      <c r="K316"/>
      <c r="L316"/>
      <c r="M316"/>
      <c r="S316" s="37"/>
      <c r="T316" s="37"/>
    </row>
    <row r="317" spans="1:20" s="9" customFormat="1" x14ac:dyDescent="0.3">
      <c r="A317" s="132" t="s">
        <v>20</v>
      </c>
      <c r="B317" s="132">
        <v>3</v>
      </c>
      <c r="C317" s="280">
        <f>$C$315*B317</f>
        <v>3024</v>
      </c>
      <c r="D317" s="1"/>
      <c r="E317" s="1"/>
      <c r="F317"/>
      <c r="G317"/>
      <c r="H317"/>
      <c r="I317"/>
      <c r="J317"/>
      <c r="K317"/>
      <c r="L317"/>
      <c r="M317"/>
      <c r="S317" s="37"/>
      <c r="T317" s="37"/>
    </row>
    <row r="318" spans="1:20" s="9" customFormat="1" x14ac:dyDescent="0.3">
      <c r="A318" s="132" t="s">
        <v>20</v>
      </c>
      <c r="B318" s="132">
        <v>4</v>
      </c>
      <c r="C318" s="280">
        <f>$C$315*B318</f>
        <v>4032</v>
      </c>
      <c r="D318" s="1"/>
      <c r="E318" s="1"/>
      <c r="F318"/>
      <c r="G318"/>
      <c r="H318"/>
      <c r="I318"/>
      <c r="J318"/>
      <c r="K318"/>
      <c r="L318"/>
      <c r="M318"/>
      <c r="S318" s="37"/>
      <c r="T318" s="37"/>
    </row>
    <row r="319" spans="1:20" s="9" customFormat="1" x14ac:dyDescent="0.3">
      <c r="A319" s="132" t="s">
        <v>20</v>
      </c>
      <c r="B319" s="132">
        <v>5</v>
      </c>
      <c r="C319" s="280">
        <f>$C$315*B319</f>
        <v>5040</v>
      </c>
      <c r="D319" s="1"/>
      <c r="E319" s="1"/>
      <c r="F319" s="34"/>
      <c r="G319" s="34"/>
      <c r="S319" s="37"/>
      <c r="T319" s="37"/>
    </row>
    <row r="320" spans="1:20" s="9" customFormat="1" x14ac:dyDescent="0.3">
      <c r="A320" s="132" t="s">
        <v>20</v>
      </c>
      <c r="B320" s="132">
        <v>6</v>
      </c>
      <c r="C320" s="280">
        <f>$C$315*B320</f>
        <v>6048</v>
      </c>
      <c r="D320" s="281"/>
      <c r="E320" s="130"/>
      <c r="F320" s="34"/>
      <c r="G320" s="34"/>
      <c r="S320" s="37"/>
      <c r="T320" s="37"/>
    </row>
    <row r="321" spans="1:20" s="9" customFormat="1" x14ac:dyDescent="0.3">
      <c r="A321" s="131" t="s">
        <v>237</v>
      </c>
      <c r="B321" s="29"/>
      <c r="C321" s="127"/>
      <c r="D321" s="127"/>
      <c r="E321" s="34"/>
      <c r="F321" s="34"/>
      <c r="G321" s="34"/>
      <c r="S321" s="37"/>
      <c r="T321" s="37"/>
    </row>
    <row r="322" spans="1:20" s="9" customFormat="1" x14ac:dyDescent="0.3">
      <c r="A322" s="131" t="s">
        <v>237</v>
      </c>
      <c r="B322" s="29"/>
      <c r="C322" s="127"/>
      <c r="D322" s="127"/>
      <c r="E322" s="34"/>
      <c r="F322" s="34"/>
      <c r="G322" s="34"/>
      <c r="S322" s="37"/>
      <c r="T322" s="37"/>
    </row>
    <row r="323" spans="1:20" s="9" customFormat="1" x14ac:dyDescent="0.3">
      <c r="A323" s="131" t="s">
        <v>237</v>
      </c>
      <c r="B323" s="29"/>
      <c r="C323" s="127"/>
      <c r="D323" s="127"/>
      <c r="E323" s="34"/>
      <c r="F323" s="34"/>
      <c r="G323" s="34"/>
      <c r="S323" s="37"/>
      <c r="T323" s="37"/>
    </row>
    <row r="324" spans="1:20" s="9" customFormat="1" x14ac:dyDescent="0.3">
      <c r="A324" s="131" t="s">
        <v>237</v>
      </c>
      <c r="B324" s="29"/>
      <c r="C324" s="127"/>
      <c r="D324" s="127"/>
      <c r="E324" s="34"/>
      <c r="F324" s="34"/>
      <c r="G324" s="34"/>
      <c r="S324" s="37"/>
      <c r="T324" s="37"/>
    </row>
    <row r="325" spans="1:20" s="9" customFormat="1" x14ac:dyDescent="0.3">
      <c r="A325" s="29"/>
      <c r="B325" s="29"/>
      <c r="C325" s="127"/>
      <c r="D325" s="127"/>
      <c r="E325" s="34"/>
      <c r="F325" s="34"/>
      <c r="G325" s="34"/>
      <c r="S325" s="37"/>
      <c r="T325" s="37"/>
    </row>
    <row r="326" spans="1:20" s="9" customFormat="1" x14ac:dyDescent="0.3">
      <c r="A326" s="282" t="s">
        <v>96</v>
      </c>
      <c r="B326" s="29"/>
      <c r="C326" s="127"/>
      <c r="D326" s="127"/>
      <c r="E326" s="34"/>
      <c r="F326" s="34"/>
      <c r="G326" s="34"/>
      <c r="S326" s="37"/>
      <c r="T326" s="37"/>
    </row>
    <row r="327" spans="1:20" s="9" customFormat="1" x14ac:dyDescent="0.3">
      <c r="A327" s="29"/>
      <c r="B327" s="29"/>
      <c r="C327" s="127"/>
      <c r="D327" s="127"/>
      <c r="E327" s="34"/>
      <c r="F327" s="34"/>
      <c r="G327" s="34"/>
      <c r="S327" s="37"/>
      <c r="T327" s="37"/>
    </row>
    <row r="328" spans="1:20" s="9" customFormat="1" x14ac:dyDescent="0.3">
      <c r="A328" s="29"/>
      <c r="B328" s="29"/>
      <c r="C328" s="127"/>
      <c r="D328" s="127"/>
      <c r="E328" s="34"/>
      <c r="F328" s="34"/>
      <c r="G328" s="34"/>
      <c r="S328" s="37"/>
      <c r="T328" s="37"/>
    </row>
    <row r="329" spans="1:20" s="9" customFormat="1" x14ac:dyDescent="0.3">
      <c r="A329" s="29"/>
      <c r="B329" s="29"/>
      <c r="C329" s="127"/>
      <c r="D329" s="127"/>
      <c r="E329" s="34"/>
      <c r="F329" s="34"/>
      <c r="G329" s="34"/>
      <c r="S329" s="37"/>
      <c r="T329" s="37"/>
    </row>
    <row r="330" spans="1:20" s="9" customFormat="1" x14ac:dyDescent="0.3">
      <c r="A330" s="29"/>
      <c r="B330" s="29"/>
      <c r="C330" s="127"/>
      <c r="D330" s="127"/>
      <c r="E330" s="34"/>
      <c r="F330" s="34"/>
      <c r="G330" s="34"/>
      <c r="S330" s="37"/>
      <c r="T330" s="37"/>
    </row>
    <row r="331" spans="1:20" s="9" customFormat="1" x14ac:dyDescent="0.3">
      <c r="A331" s="29"/>
      <c r="B331" s="29"/>
      <c r="C331" s="127"/>
      <c r="D331" s="127"/>
      <c r="E331" s="34"/>
      <c r="F331" s="34"/>
      <c r="G331" s="34"/>
      <c r="S331" s="37"/>
      <c r="T331" s="37"/>
    </row>
    <row r="332" spans="1:20" x14ac:dyDescent="0.3">
      <c r="A332" s="29"/>
      <c r="B332" s="29"/>
      <c r="C332" s="127"/>
      <c r="D332" s="127"/>
      <c r="E332" s="34"/>
      <c r="F332" s="34"/>
      <c r="G332" s="34"/>
      <c r="H332" s="9"/>
      <c r="I332" s="9"/>
      <c r="J332" s="9"/>
      <c r="K332" s="9"/>
      <c r="L332" s="9"/>
      <c r="M332" s="9"/>
    </row>
    <row r="333" spans="1:20" x14ac:dyDescent="0.3">
      <c r="A333" s="29"/>
      <c r="B333" s="29"/>
      <c r="C333" s="127"/>
      <c r="D333" s="127"/>
      <c r="E333" s="34"/>
      <c r="F333" s="34"/>
      <c r="G333" s="34"/>
      <c r="H333" s="9"/>
      <c r="I333" s="9"/>
      <c r="J333" s="9"/>
      <c r="K333" s="9"/>
      <c r="L333" s="9"/>
      <c r="M333" s="9"/>
    </row>
    <row r="334" spans="1:20" x14ac:dyDescent="0.3">
      <c r="A334" s="29"/>
      <c r="B334" s="29"/>
      <c r="C334" s="127"/>
      <c r="D334" s="127"/>
      <c r="E334" s="34"/>
      <c r="F334" s="34"/>
      <c r="G334" s="34"/>
      <c r="H334" s="9"/>
      <c r="I334" s="9"/>
      <c r="J334" s="9"/>
      <c r="K334" s="9"/>
      <c r="L334" s="9"/>
      <c r="M334" s="9"/>
    </row>
    <row r="335" spans="1:20" x14ac:dyDescent="0.3">
      <c r="A335" s="29"/>
      <c r="B335" s="29"/>
      <c r="C335" s="127"/>
      <c r="D335" s="127"/>
      <c r="E335" s="34"/>
      <c r="F335" s="34"/>
      <c r="G335" s="34"/>
      <c r="H335" s="9"/>
      <c r="I335" s="9"/>
      <c r="J335" s="9"/>
      <c r="K335" s="9"/>
      <c r="L335" s="9"/>
      <c r="M335" s="9"/>
    </row>
    <row r="336" spans="1:20" x14ac:dyDescent="0.3">
      <c r="A336" s="29"/>
      <c r="B336" s="29"/>
      <c r="C336" s="127"/>
      <c r="D336" s="127"/>
      <c r="E336" s="34"/>
      <c r="F336" s="34"/>
      <c r="G336" s="34"/>
      <c r="H336" s="9"/>
      <c r="I336" s="9"/>
      <c r="J336" s="9"/>
      <c r="K336" s="9"/>
      <c r="L336" s="9"/>
      <c r="M336" s="9"/>
    </row>
    <row r="337" spans="1:13" x14ac:dyDescent="0.3">
      <c r="A337" s="29"/>
      <c r="B337" s="29"/>
      <c r="C337" s="127"/>
      <c r="D337" s="127"/>
      <c r="E337" s="34"/>
      <c r="F337" s="34"/>
      <c r="G337" s="34"/>
      <c r="H337" s="9"/>
      <c r="I337" s="9"/>
      <c r="J337" s="9"/>
      <c r="K337" s="9"/>
      <c r="L337" s="9"/>
      <c r="M337" s="9"/>
    </row>
  </sheetData>
  <mergeCells count="7">
    <mergeCell ref="A42:E42"/>
    <mergeCell ref="A9:E9"/>
    <mergeCell ref="A297:E297"/>
    <mergeCell ref="A96:D96"/>
    <mergeCell ref="F96:I96"/>
    <mergeCell ref="A130:F130"/>
    <mergeCell ref="A203:F203"/>
  </mergeCells>
  <phoneticPr fontId="22" type="noConversion"/>
  <dataValidations disablePrompts="1" count="1">
    <dataValidation type="list" allowBlank="1" showInputMessage="1" showErrorMessage="1" sqref="D98:D123" xr:uid="{15D68B08-3B34-4B70-84F0-F549140CDF2B}">
      <formula1>D132:F132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62E9-7D04-4AAA-A7DF-6B8F263D1D86}">
  <sheetPr codeName="Hoja6"/>
  <dimension ref="A1:AC113"/>
  <sheetViews>
    <sheetView topLeftCell="A93" zoomScale="80" zoomScaleNormal="80" workbookViewId="0">
      <selection activeCell="G95" sqref="G95"/>
    </sheetView>
  </sheetViews>
  <sheetFormatPr baseColWidth="10" defaultRowHeight="14.4" x14ac:dyDescent="0.3"/>
  <cols>
    <col min="1" max="1" width="12.44140625" bestFit="1" customWidth="1"/>
    <col min="2" max="2" width="12.6640625" style="35" bestFit="1" customWidth="1"/>
    <col min="3" max="3" width="13.88671875" customWidth="1"/>
    <col min="4" max="4" width="14.5546875" style="35" bestFit="1" customWidth="1"/>
    <col min="5" max="5" width="11.5546875" style="35" bestFit="1" customWidth="1"/>
    <col min="6" max="6" width="13.88671875" bestFit="1" customWidth="1"/>
    <col min="7" max="7" width="11.5546875" style="35" bestFit="1" customWidth="1"/>
    <col min="8" max="8" width="11.5546875" style="34" bestFit="1" customWidth="1"/>
    <col min="9" max="9" width="12.33203125" style="35" bestFit="1" customWidth="1"/>
    <col min="10" max="10" width="12.6640625" style="39" bestFit="1" customWidth="1"/>
    <col min="11" max="13" width="11.44140625" style="39"/>
    <col min="14" max="14" width="6.44140625" style="39" customWidth="1"/>
    <col min="15" max="18" width="11.44140625" style="39"/>
    <col min="19" max="19" width="12.109375" style="39" bestFit="1" customWidth="1"/>
    <col min="20" max="21" width="11.44140625" style="39"/>
    <col min="25" max="25" width="19.109375" bestFit="1" customWidth="1"/>
  </cols>
  <sheetData>
    <row r="1" spans="1:29" s="9" customFormat="1" ht="15" thickBot="1" x14ac:dyDescent="0.35">
      <c r="A1" s="54" t="s">
        <v>9</v>
      </c>
      <c r="B1" s="54"/>
      <c r="C1" s="54"/>
      <c r="D1" s="54"/>
      <c r="E1" s="54"/>
      <c r="F1" s="54"/>
      <c r="G1" s="54"/>
      <c r="H1" s="54"/>
      <c r="I1" s="33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9" s="9" customFormat="1" ht="28.2" thickBot="1" x14ac:dyDescent="0.35">
      <c r="A2" s="10" t="s">
        <v>10</v>
      </c>
      <c r="B2" s="10"/>
      <c r="C2" s="11" t="s">
        <v>11</v>
      </c>
      <c r="D2" s="11"/>
      <c r="E2" s="11"/>
      <c r="F2" s="11" t="s">
        <v>12</v>
      </c>
      <c r="G2" s="34"/>
      <c r="H2" s="34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9" s="9" customFormat="1" x14ac:dyDescent="0.3">
      <c r="A3" s="12">
        <v>1</v>
      </c>
      <c r="B3" s="12"/>
      <c r="C3" s="13">
        <v>0</v>
      </c>
      <c r="D3" s="13"/>
      <c r="E3" s="13"/>
      <c r="F3" s="12"/>
      <c r="G3" s="29"/>
      <c r="H3" s="34"/>
      <c r="I3" s="29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spans="1:29" s="9" customFormat="1" ht="15" thickBot="1" x14ac:dyDescent="0.35">
      <c r="B4" s="34"/>
      <c r="D4" s="34"/>
      <c r="E4" s="34"/>
      <c r="G4" s="34"/>
      <c r="H4" s="34"/>
      <c r="I4" s="34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9" s="9" customFormat="1" ht="28.2" thickBot="1" x14ac:dyDescent="0.35">
      <c r="A5" s="18" t="s">
        <v>13</v>
      </c>
      <c r="B5" s="14" t="s">
        <v>164</v>
      </c>
      <c r="C5" s="14" t="s">
        <v>15</v>
      </c>
      <c r="D5" s="14" t="s">
        <v>150</v>
      </c>
      <c r="E5" s="14" t="s">
        <v>14</v>
      </c>
      <c r="F5" s="14" t="s">
        <v>205</v>
      </c>
      <c r="G5" s="14" t="s">
        <v>164</v>
      </c>
      <c r="H5" s="34"/>
      <c r="AB5"/>
      <c r="AC5" s="35"/>
    </row>
    <row r="6" spans="1:29" s="9" customFormat="1" ht="15.75" customHeight="1" x14ac:dyDescent="0.3">
      <c r="A6" s="25" t="s">
        <v>21</v>
      </c>
      <c r="B6" s="38">
        <v>1</v>
      </c>
      <c r="C6" s="31" t="s">
        <v>16</v>
      </c>
      <c r="D6" s="40">
        <v>0.01</v>
      </c>
      <c r="E6" s="43" t="s">
        <v>29</v>
      </c>
      <c r="F6" s="41" t="s">
        <v>22</v>
      </c>
      <c r="G6" s="42" t="s">
        <v>0</v>
      </c>
      <c r="H6" s="34"/>
      <c r="AB6"/>
      <c r="AC6" s="35"/>
    </row>
    <row r="7" spans="1:29" s="9" customFormat="1" x14ac:dyDescent="0.3">
      <c r="A7" s="26" t="s">
        <v>380</v>
      </c>
      <c r="B7" s="38">
        <v>1</v>
      </c>
      <c r="C7" s="26" t="s">
        <v>17</v>
      </c>
      <c r="D7" s="40">
        <v>0.02</v>
      </c>
      <c r="E7" s="43" t="s">
        <v>31</v>
      </c>
      <c r="F7" s="43" t="s">
        <v>24</v>
      </c>
      <c r="G7" s="44" t="s">
        <v>161</v>
      </c>
      <c r="H7" s="34"/>
      <c r="AB7"/>
      <c r="AC7" s="35"/>
    </row>
    <row r="8" spans="1:29" s="9" customFormat="1" x14ac:dyDescent="0.3">
      <c r="A8" s="26" t="s">
        <v>25</v>
      </c>
      <c r="B8" s="38">
        <v>2</v>
      </c>
      <c r="C8" s="26" t="s">
        <v>18</v>
      </c>
      <c r="D8" s="40">
        <v>0.03</v>
      </c>
      <c r="E8" s="43" t="s">
        <v>33</v>
      </c>
      <c r="F8" s="43" t="s">
        <v>26</v>
      </c>
      <c r="G8" s="44" t="s">
        <v>162</v>
      </c>
      <c r="H8" s="34"/>
      <c r="AB8"/>
      <c r="AC8" s="35"/>
    </row>
    <row r="9" spans="1:29" s="9" customFormat="1" x14ac:dyDescent="0.3">
      <c r="A9" s="26" t="s">
        <v>27</v>
      </c>
      <c r="B9" s="38">
        <v>2</v>
      </c>
      <c r="C9" s="26" t="s">
        <v>19</v>
      </c>
      <c r="D9" s="40">
        <v>0.04</v>
      </c>
      <c r="E9" s="43" t="s">
        <v>35</v>
      </c>
      <c r="F9" s="45" t="s">
        <v>22</v>
      </c>
      <c r="G9" s="46"/>
      <c r="H9" s="34"/>
      <c r="AB9"/>
      <c r="AC9" s="35"/>
    </row>
    <row r="10" spans="1:29" s="9" customFormat="1" x14ac:dyDescent="0.3">
      <c r="A10" s="26" t="s">
        <v>28</v>
      </c>
      <c r="B10" s="38">
        <v>2</v>
      </c>
      <c r="C10" s="26" t="s">
        <v>20</v>
      </c>
      <c r="D10" s="36">
        <v>0.05</v>
      </c>
      <c r="E10" s="43" t="s">
        <v>28</v>
      </c>
      <c r="F10" s="43" t="s">
        <v>29</v>
      </c>
      <c r="G10" s="44" t="s">
        <v>151</v>
      </c>
      <c r="H10" s="34"/>
      <c r="AB10"/>
      <c r="AC10" s="35"/>
    </row>
    <row r="11" spans="1:29" s="9" customFormat="1" x14ac:dyDescent="0.3">
      <c r="A11" s="26" t="s">
        <v>30</v>
      </c>
      <c r="B11" s="38">
        <v>2</v>
      </c>
      <c r="C11" s="26" t="s">
        <v>165</v>
      </c>
      <c r="D11" s="36">
        <v>0.06</v>
      </c>
      <c r="E11" s="43" t="s">
        <v>38</v>
      </c>
      <c r="F11" s="43" t="s">
        <v>31</v>
      </c>
      <c r="G11" s="44" t="s">
        <v>152</v>
      </c>
      <c r="H11" s="34"/>
      <c r="AB11"/>
      <c r="AC11" s="35"/>
    </row>
    <row r="12" spans="1:29" s="9" customFormat="1" x14ac:dyDescent="0.3">
      <c r="A12" s="26" t="s">
        <v>34</v>
      </c>
      <c r="B12" s="38">
        <v>3</v>
      </c>
      <c r="C12" s="26" t="s">
        <v>204</v>
      </c>
      <c r="D12" s="36">
        <v>7.0000000000000007E-2</v>
      </c>
      <c r="E12" s="43" t="s">
        <v>23</v>
      </c>
      <c r="F12" s="43" t="s">
        <v>33</v>
      </c>
      <c r="G12" s="44" t="s">
        <v>153</v>
      </c>
      <c r="H12" s="34"/>
      <c r="AB12"/>
      <c r="AC12" s="35"/>
    </row>
    <row r="13" spans="1:29" s="9" customFormat="1" x14ac:dyDescent="0.3">
      <c r="A13" s="26" t="s">
        <v>33</v>
      </c>
      <c r="B13" s="38">
        <v>4</v>
      </c>
      <c r="C13" s="26"/>
      <c r="D13" s="36">
        <v>0.08</v>
      </c>
      <c r="E13" s="43" t="s">
        <v>32</v>
      </c>
      <c r="F13" s="43" t="s">
        <v>35</v>
      </c>
      <c r="G13" s="44" t="s">
        <v>154</v>
      </c>
      <c r="H13" s="34"/>
      <c r="AB13"/>
      <c r="AC13" s="35"/>
    </row>
    <row r="14" spans="1:29" s="9" customFormat="1" ht="15.75" customHeight="1" x14ac:dyDescent="0.3">
      <c r="A14" s="26" t="s">
        <v>37</v>
      </c>
      <c r="B14" s="38">
        <v>4</v>
      </c>
      <c r="C14" s="26"/>
      <c r="D14" s="36">
        <v>0.09</v>
      </c>
      <c r="E14" s="43" t="s">
        <v>40</v>
      </c>
      <c r="F14" s="45" t="s">
        <v>24</v>
      </c>
      <c r="G14" s="46"/>
      <c r="H14" s="34"/>
      <c r="AB14"/>
      <c r="AC14" s="35"/>
    </row>
    <row r="15" spans="1:29" s="9" customFormat="1" ht="15.75" customHeight="1" thickBot="1" x14ac:dyDescent="0.35">
      <c r="A15" s="26" t="s">
        <v>36</v>
      </c>
      <c r="B15" s="38">
        <v>5</v>
      </c>
      <c r="C15" s="26"/>
      <c r="D15" s="40">
        <v>0.1</v>
      </c>
      <c r="E15" s="47" t="s">
        <v>41</v>
      </c>
      <c r="F15" s="43" t="s">
        <v>28</v>
      </c>
      <c r="G15" s="44" t="s">
        <v>157</v>
      </c>
      <c r="H15" s="34"/>
      <c r="AB15"/>
      <c r="AC15" s="35"/>
    </row>
    <row r="16" spans="1:29" s="9" customFormat="1" ht="15.75" customHeight="1" x14ac:dyDescent="0.3">
      <c r="A16" s="26" t="s">
        <v>32</v>
      </c>
      <c r="B16" s="38">
        <v>5</v>
      </c>
      <c r="C16" s="26"/>
      <c r="D16" s="36">
        <v>0.11</v>
      </c>
      <c r="E16" s="85"/>
      <c r="F16" s="43" t="s">
        <v>38</v>
      </c>
      <c r="G16" s="44" t="s">
        <v>155</v>
      </c>
      <c r="H16" s="34"/>
      <c r="AB16"/>
      <c r="AC16" s="35"/>
    </row>
    <row r="17" spans="1:25" s="9" customFormat="1" ht="15" thickBot="1" x14ac:dyDescent="0.35">
      <c r="A17" s="27"/>
      <c r="B17" s="38"/>
      <c r="C17" s="27"/>
      <c r="D17" s="36">
        <v>0.12</v>
      </c>
      <c r="E17" s="85"/>
      <c r="F17" s="43" t="s">
        <v>23</v>
      </c>
      <c r="G17" s="44" t="s">
        <v>156</v>
      </c>
      <c r="H17" s="34"/>
    </row>
    <row r="18" spans="1:25" s="9" customFormat="1" x14ac:dyDescent="0.3">
      <c r="A18" s="30"/>
      <c r="B18" s="32"/>
      <c r="C18" s="20"/>
      <c r="D18" s="36"/>
      <c r="E18" s="85"/>
      <c r="F18" s="43" t="s">
        <v>32</v>
      </c>
      <c r="G18" s="44" t="s">
        <v>158</v>
      </c>
      <c r="H18" s="34"/>
    </row>
    <row r="19" spans="1:25" s="9" customFormat="1" ht="15.75" customHeight="1" x14ac:dyDescent="0.3">
      <c r="A19" s="32"/>
      <c r="B19" s="32"/>
      <c r="C19" s="16"/>
      <c r="D19" s="36"/>
      <c r="E19" s="85"/>
      <c r="F19" s="45" t="s">
        <v>26</v>
      </c>
      <c r="G19" s="46"/>
      <c r="H19" s="34"/>
    </row>
    <row r="20" spans="1:25" s="9" customFormat="1" x14ac:dyDescent="0.3">
      <c r="A20" s="16"/>
      <c r="B20" s="32"/>
      <c r="C20" s="16"/>
      <c r="D20" s="36"/>
      <c r="E20" s="85"/>
      <c r="F20" s="43" t="s">
        <v>40</v>
      </c>
      <c r="G20" s="44" t="s">
        <v>159</v>
      </c>
      <c r="H20" s="34"/>
    </row>
    <row r="21" spans="1:25" s="9" customFormat="1" ht="15" thickBot="1" x14ac:dyDescent="0.35">
      <c r="A21" s="16"/>
      <c r="B21" s="32"/>
      <c r="C21" s="16"/>
      <c r="D21" s="36"/>
      <c r="E21" s="85"/>
      <c r="F21" s="47" t="s">
        <v>41</v>
      </c>
      <c r="G21" s="48" t="s">
        <v>160</v>
      </c>
      <c r="H21" s="34"/>
    </row>
    <row r="22" spans="1:25" s="9" customFormat="1" x14ac:dyDescent="0.3">
      <c r="A22" s="16"/>
      <c r="B22" s="32"/>
      <c r="C22" s="16"/>
      <c r="D22" s="32"/>
      <c r="E22" s="85"/>
      <c r="F22" s="28"/>
      <c r="G22" s="28"/>
      <c r="H22" s="34"/>
    </row>
    <row r="23" spans="1:25" s="9" customFormat="1" x14ac:dyDescent="0.3">
      <c r="A23" s="16"/>
      <c r="B23" s="32"/>
      <c r="C23" s="16"/>
      <c r="D23" s="32"/>
      <c r="E23" s="85"/>
      <c r="F23" s="28"/>
      <c r="G23" s="28"/>
      <c r="H23" s="34"/>
    </row>
    <row r="24" spans="1:25" s="9" customFormat="1" x14ac:dyDescent="0.3">
      <c r="A24" s="20"/>
      <c r="B24" s="32"/>
      <c r="C24" s="16"/>
      <c r="D24" s="32"/>
      <c r="E24" s="85"/>
      <c r="F24" s="28"/>
      <c r="G24" s="28"/>
      <c r="H24" s="34"/>
      <c r="W24" s="441" t="s">
        <v>203</v>
      </c>
      <c r="X24" s="441"/>
      <c r="Y24" s="441"/>
    </row>
    <row r="25" spans="1:25" s="9" customFormat="1" x14ac:dyDescent="0.3">
      <c r="A25" s="20"/>
      <c r="B25" s="32"/>
      <c r="C25" s="16"/>
      <c r="D25" s="32"/>
      <c r="E25" s="85"/>
      <c r="F25" s="28"/>
      <c r="G25" s="28"/>
      <c r="H25" s="34"/>
      <c r="W25" s="441"/>
      <c r="X25" s="441"/>
      <c r="Y25" s="441"/>
    </row>
    <row r="26" spans="1:25" x14ac:dyDescent="0.3">
      <c r="W26" s="441"/>
      <c r="X26" s="441"/>
      <c r="Y26" s="441"/>
    </row>
    <row r="27" spans="1:25" x14ac:dyDescent="0.3">
      <c r="W27" s="441"/>
      <c r="X27" s="441"/>
      <c r="Y27" s="441"/>
    </row>
    <row r="28" spans="1:25" ht="15.75" hidden="1" customHeight="1" thickBot="1" x14ac:dyDescent="0.35">
      <c r="A28" s="114" t="s">
        <v>192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23"/>
    </row>
    <row r="29" spans="1:25" hidden="1" x14ac:dyDescent="0.3">
      <c r="A29" s="118" t="s">
        <v>163</v>
      </c>
      <c r="B29" s="119"/>
      <c r="C29" s="124" t="s">
        <v>21</v>
      </c>
      <c r="D29" s="125" t="s">
        <v>23</v>
      </c>
      <c r="E29" s="124" t="s">
        <v>25</v>
      </c>
      <c r="F29" s="124" t="s">
        <v>27</v>
      </c>
      <c r="G29" s="124" t="s">
        <v>28</v>
      </c>
      <c r="H29" s="124" t="s">
        <v>30</v>
      </c>
      <c r="I29" s="124" t="s">
        <v>34</v>
      </c>
      <c r="J29" s="124" t="s">
        <v>33</v>
      </c>
      <c r="K29" s="124" t="s">
        <v>37</v>
      </c>
      <c r="L29" s="124" t="s">
        <v>36</v>
      </c>
      <c r="M29" s="126" t="s">
        <v>32</v>
      </c>
    </row>
    <row r="30" spans="1:25" hidden="1" x14ac:dyDescent="0.3">
      <c r="A30" s="120" t="s">
        <v>16</v>
      </c>
      <c r="B30" s="117"/>
      <c r="C30" s="49">
        <f>$B$6+D6</f>
        <v>1.01</v>
      </c>
      <c r="D30" s="53">
        <f t="shared" ref="D30:D36" si="0">$B$7+D6</f>
        <v>1.01</v>
      </c>
      <c r="E30" s="49">
        <f t="shared" ref="E30:E36" si="1">$B$8+D6</f>
        <v>2.0099999999999998</v>
      </c>
      <c r="F30" s="49">
        <f t="shared" ref="F30:F36" si="2">$B$9+D6</f>
        <v>2.0099999999999998</v>
      </c>
      <c r="G30" s="49">
        <f t="shared" ref="G30:G36" si="3">$B$10+D6</f>
        <v>2.0099999999999998</v>
      </c>
      <c r="H30" s="49">
        <f t="shared" ref="H30:H36" si="4">$B$11+D6</f>
        <v>2.0099999999999998</v>
      </c>
      <c r="I30" s="49">
        <f t="shared" ref="I30:I36" si="5">$B$12+D6</f>
        <v>3.01</v>
      </c>
      <c r="J30" s="49">
        <f t="shared" ref="J30:J36" si="6">$B$13+D6</f>
        <v>4.01</v>
      </c>
      <c r="K30" s="49">
        <f t="shared" ref="K30:K36" si="7">$B$14+D6</f>
        <v>4.01</v>
      </c>
      <c r="L30" s="49">
        <v>5.01</v>
      </c>
      <c r="M30" s="79">
        <f t="shared" ref="M30:M36" si="8">$B$16+D6</f>
        <v>5.01</v>
      </c>
    </row>
    <row r="31" spans="1:25" hidden="1" x14ac:dyDescent="0.3">
      <c r="A31" s="120" t="s">
        <v>17</v>
      </c>
      <c r="B31" s="117"/>
      <c r="C31" s="49">
        <f t="shared" ref="C31:C36" si="9">$B$6+D7</f>
        <v>1.02</v>
      </c>
      <c r="D31" s="53">
        <f t="shared" si="0"/>
        <v>1.02</v>
      </c>
      <c r="E31" s="49">
        <f t="shared" si="1"/>
        <v>2.02</v>
      </c>
      <c r="F31" s="49">
        <f t="shared" si="2"/>
        <v>2.02</v>
      </c>
      <c r="G31" s="49">
        <f t="shared" si="3"/>
        <v>2.02</v>
      </c>
      <c r="H31" s="49">
        <f t="shared" si="4"/>
        <v>2.02</v>
      </c>
      <c r="I31" s="49">
        <f t="shared" si="5"/>
        <v>3.02</v>
      </c>
      <c r="J31" s="49">
        <f t="shared" si="6"/>
        <v>4.0199999999999996</v>
      </c>
      <c r="K31" s="49">
        <f t="shared" si="7"/>
        <v>4.0199999999999996</v>
      </c>
      <c r="L31" s="49">
        <v>5.0199999999999996</v>
      </c>
      <c r="M31" s="79">
        <f t="shared" si="8"/>
        <v>5.0199999999999996</v>
      </c>
    </row>
    <row r="32" spans="1:25" ht="15.75" hidden="1" customHeight="1" x14ac:dyDescent="0.3">
      <c r="A32" s="120" t="s">
        <v>18</v>
      </c>
      <c r="B32" s="117"/>
      <c r="C32" s="49">
        <f t="shared" si="9"/>
        <v>1.03</v>
      </c>
      <c r="D32" s="53">
        <f t="shared" si="0"/>
        <v>1.03</v>
      </c>
      <c r="E32" s="49">
        <f t="shared" si="1"/>
        <v>2.0299999999999998</v>
      </c>
      <c r="F32" s="49">
        <f t="shared" si="2"/>
        <v>2.0299999999999998</v>
      </c>
      <c r="G32" s="49">
        <f t="shared" si="3"/>
        <v>2.0299999999999998</v>
      </c>
      <c r="H32" s="49">
        <f t="shared" si="4"/>
        <v>2.0299999999999998</v>
      </c>
      <c r="I32" s="49">
        <f t="shared" si="5"/>
        <v>3.03</v>
      </c>
      <c r="J32" s="49">
        <f t="shared" si="6"/>
        <v>4.03</v>
      </c>
      <c r="K32" s="49">
        <f t="shared" si="7"/>
        <v>4.03</v>
      </c>
      <c r="L32" s="49">
        <v>5.03</v>
      </c>
      <c r="M32" s="79">
        <f t="shared" si="8"/>
        <v>5.03</v>
      </c>
    </row>
    <row r="33" spans="1:29" hidden="1" x14ac:dyDescent="0.3">
      <c r="A33" s="120" t="s">
        <v>19</v>
      </c>
      <c r="B33" s="117"/>
      <c r="C33" s="49">
        <f t="shared" si="9"/>
        <v>1.04</v>
      </c>
      <c r="D33" s="53">
        <f t="shared" si="0"/>
        <v>1.04</v>
      </c>
      <c r="E33" s="49">
        <f t="shared" si="1"/>
        <v>2.04</v>
      </c>
      <c r="F33" s="49">
        <f t="shared" si="2"/>
        <v>2.04</v>
      </c>
      <c r="G33" s="49">
        <f t="shared" si="3"/>
        <v>2.04</v>
      </c>
      <c r="H33" s="49">
        <f t="shared" si="4"/>
        <v>2.04</v>
      </c>
      <c r="I33" s="49">
        <f t="shared" si="5"/>
        <v>3.04</v>
      </c>
      <c r="J33" s="49">
        <f t="shared" si="6"/>
        <v>4.04</v>
      </c>
      <c r="K33" s="49">
        <f t="shared" si="7"/>
        <v>4.04</v>
      </c>
      <c r="L33" s="49">
        <v>5.04</v>
      </c>
      <c r="M33" s="79">
        <f t="shared" si="8"/>
        <v>5.04</v>
      </c>
    </row>
    <row r="34" spans="1:29" hidden="1" x14ac:dyDescent="0.3">
      <c r="A34" s="120" t="s">
        <v>20</v>
      </c>
      <c r="B34" s="117"/>
      <c r="C34" s="49">
        <f t="shared" si="9"/>
        <v>1.05</v>
      </c>
      <c r="D34" s="53">
        <f t="shared" si="0"/>
        <v>1.05</v>
      </c>
      <c r="E34" s="49">
        <f t="shared" si="1"/>
        <v>2.0499999999999998</v>
      </c>
      <c r="F34" s="49">
        <f t="shared" si="2"/>
        <v>2.0499999999999998</v>
      </c>
      <c r="G34" s="49">
        <f t="shared" si="3"/>
        <v>2.0499999999999998</v>
      </c>
      <c r="H34" s="49">
        <f t="shared" si="4"/>
        <v>2.0499999999999998</v>
      </c>
      <c r="I34" s="49">
        <f t="shared" si="5"/>
        <v>3.05</v>
      </c>
      <c r="J34" s="49">
        <f t="shared" si="6"/>
        <v>4.05</v>
      </c>
      <c r="K34" s="49">
        <f t="shared" si="7"/>
        <v>4.05</v>
      </c>
      <c r="L34" s="49">
        <v>5.05</v>
      </c>
      <c r="M34" s="79">
        <f t="shared" si="8"/>
        <v>5.05</v>
      </c>
    </row>
    <row r="35" spans="1:29" hidden="1" x14ac:dyDescent="0.3">
      <c r="A35" s="120" t="s">
        <v>165</v>
      </c>
      <c r="B35" s="117"/>
      <c r="C35" s="49">
        <f t="shared" si="9"/>
        <v>1.06</v>
      </c>
      <c r="D35" s="53">
        <f t="shared" si="0"/>
        <v>1.06</v>
      </c>
      <c r="E35" s="49">
        <f t="shared" si="1"/>
        <v>2.06</v>
      </c>
      <c r="F35" s="49">
        <f t="shared" si="2"/>
        <v>2.06</v>
      </c>
      <c r="G35" s="49">
        <f t="shared" si="3"/>
        <v>2.06</v>
      </c>
      <c r="H35" s="49">
        <f t="shared" si="4"/>
        <v>2.06</v>
      </c>
      <c r="I35" s="49">
        <f t="shared" si="5"/>
        <v>3.06</v>
      </c>
      <c r="J35" s="49">
        <f t="shared" si="6"/>
        <v>4.0599999999999996</v>
      </c>
      <c r="K35" s="49">
        <f t="shared" si="7"/>
        <v>4.0599999999999996</v>
      </c>
      <c r="L35" s="49">
        <v>5.0599999999999996</v>
      </c>
      <c r="M35" s="79">
        <f t="shared" si="8"/>
        <v>5.0599999999999996</v>
      </c>
    </row>
    <row r="36" spans="1:29" ht="15" hidden="1" customHeight="1" thickBot="1" x14ac:dyDescent="0.35">
      <c r="A36" s="121" t="s">
        <v>204</v>
      </c>
      <c r="B36" s="122"/>
      <c r="C36" s="80">
        <f t="shared" si="9"/>
        <v>1.07</v>
      </c>
      <c r="D36" s="113">
        <f t="shared" si="0"/>
        <v>1.07</v>
      </c>
      <c r="E36" s="80">
        <f t="shared" si="1"/>
        <v>2.0699999999999998</v>
      </c>
      <c r="F36" s="80">
        <f t="shared" si="2"/>
        <v>2.0699999999999998</v>
      </c>
      <c r="G36" s="80">
        <f t="shared" si="3"/>
        <v>2.0699999999999998</v>
      </c>
      <c r="H36" s="80">
        <f t="shared" si="4"/>
        <v>2.0699999999999998</v>
      </c>
      <c r="I36" s="80">
        <f t="shared" si="5"/>
        <v>3.07</v>
      </c>
      <c r="J36" s="80">
        <f t="shared" si="6"/>
        <v>4.07</v>
      </c>
      <c r="K36" s="80">
        <f t="shared" si="7"/>
        <v>4.07</v>
      </c>
      <c r="L36" s="80">
        <v>5.07</v>
      </c>
      <c r="M36" s="81">
        <f t="shared" si="8"/>
        <v>5.07</v>
      </c>
    </row>
    <row r="37" spans="1:29" ht="15.75" hidden="1" customHeight="1" thickBot="1" x14ac:dyDescent="0.35">
      <c r="A37" s="114" t="s">
        <v>192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23"/>
    </row>
    <row r="38" spans="1:29" hidden="1" x14ac:dyDescent="0.3">
      <c r="A38" s="118" t="s">
        <v>163</v>
      </c>
      <c r="B38" s="119"/>
      <c r="C38" s="124" t="s">
        <v>21</v>
      </c>
      <c r="D38" s="125" t="s">
        <v>23</v>
      </c>
      <c r="E38" s="124" t="s">
        <v>25</v>
      </c>
      <c r="F38" s="124" t="s">
        <v>27</v>
      </c>
      <c r="G38" s="124" t="s">
        <v>28</v>
      </c>
      <c r="H38" s="124" t="s">
        <v>30</v>
      </c>
      <c r="I38" s="124" t="s">
        <v>34</v>
      </c>
      <c r="J38" s="124" t="s">
        <v>33</v>
      </c>
      <c r="K38" s="124" t="s">
        <v>37</v>
      </c>
      <c r="L38" s="124" t="s">
        <v>36</v>
      </c>
      <c r="M38" s="126" t="s">
        <v>32</v>
      </c>
    </row>
    <row r="39" spans="1:29" hidden="1" x14ac:dyDescent="0.3">
      <c r="A39" s="120" t="s">
        <v>16</v>
      </c>
      <c r="B39" s="117"/>
      <c r="C39" s="49">
        <f>$B$6+D15</f>
        <v>1.1000000000000001</v>
      </c>
      <c r="D39" s="53">
        <f t="shared" ref="D39:D45" si="10">$B$7+D15</f>
        <v>1.1000000000000001</v>
      </c>
      <c r="E39" s="49">
        <f t="shared" ref="E39:E45" si="11">$B$8+D15</f>
        <v>2.1</v>
      </c>
      <c r="F39" s="49">
        <f t="shared" ref="F39:F45" si="12">$B$9+D15</f>
        <v>2.1</v>
      </c>
      <c r="G39" s="49">
        <f t="shared" ref="G39:G45" si="13">$B$10+D15</f>
        <v>2.1</v>
      </c>
      <c r="H39" s="49">
        <f t="shared" ref="H39:H45" si="14">$B$11+D15</f>
        <v>2.1</v>
      </c>
      <c r="I39" s="49">
        <f t="shared" ref="I39:I45" si="15">$B$12+D15</f>
        <v>3.1</v>
      </c>
      <c r="J39" s="49">
        <f t="shared" ref="J39:J45" si="16">$B$13+D15</f>
        <v>4.0999999999999996</v>
      </c>
      <c r="K39" s="49">
        <f t="shared" ref="K39:K45" si="17">$B$14+D15</f>
        <v>4.0999999999999996</v>
      </c>
      <c r="L39" s="49">
        <v>5.01</v>
      </c>
      <c r="M39" s="79">
        <f t="shared" ref="M39:M45" si="18">$B$16+D15</f>
        <v>5.0999999999999996</v>
      </c>
    </row>
    <row r="40" spans="1:29" hidden="1" x14ac:dyDescent="0.3">
      <c r="A40" s="120" t="s">
        <v>17</v>
      </c>
      <c r="B40" s="117"/>
      <c r="C40" s="49">
        <f t="shared" ref="C40:C45" si="19">$B$6+D16</f>
        <v>1.1100000000000001</v>
      </c>
      <c r="D40" s="53">
        <f t="shared" si="10"/>
        <v>1.1100000000000001</v>
      </c>
      <c r="E40" s="49">
        <f t="shared" si="11"/>
        <v>2.11</v>
      </c>
      <c r="F40" s="49">
        <f t="shared" si="12"/>
        <v>2.11</v>
      </c>
      <c r="G40" s="49">
        <f t="shared" si="13"/>
        <v>2.11</v>
      </c>
      <c r="H40" s="49">
        <f t="shared" si="14"/>
        <v>2.11</v>
      </c>
      <c r="I40" s="49">
        <f t="shared" si="15"/>
        <v>3.11</v>
      </c>
      <c r="J40" s="49">
        <f t="shared" si="16"/>
        <v>4.1100000000000003</v>
      </c>
      <c r="K40" s="49">
        <f t="shared" si="17"/>
        <v>4.1100000000000003</v>
      </c>
      <c r="L40" s="49">
        <v>5.0199999999999996</v>
      </c>
      <c r="M40" s="79">
        <f t="shared" si="18"/>
        <v>5.1100000000000003</v>
      </c>
    </row>
    <row r="41" spans="1:29" ht="15.75" hidden="1" customHeight="1" x14ac:dyDescent="0.3">
      <c r="A41" s="120" t="s">
        <v>18</v>
      </c>
      <c r="B41" s="117"/>
      <c r="C41" s="49">
        <f t="shared" si="19"/>
        <v>1.1200000000000001</v>
      </c>
      <c r="D41" s="53">
        <f t="shared" si="10"/>
        <v>1.1200000000000001</v>
      </c>
      <c r="E41" s="49">
        <f t="shared" si="11"/>
        <v>2.12</v>
      </c>
      <c r="F41" s="49">
        <f t="shared" si="12"/>
        <v>2.12</v>
      </c>
      <c r="G41" s="49">
        <f t="shared" si="13"/>
        <v>2.12</v>
      </c>
      <c r="H41" s="49">
        <f t="shared" si="14"/>
        <v>2.12</v>
      </c>
      <c r="I41" s="49">
        <f t="shared" si="15"/>
        <v>3.12</v>
      </c>
      <c r="J41" s="49">
        <f t="shared" si="16"/>
        <v>4.12</v>
      </c>
      <c r="K41" s="49">
        <f t="shared" si="17"/>
        <v>4.12</v>
      </c>
      <c r="L41" s="49">
        <v>5.03</v>
      </c>
      <c r="M41" s="79">
        <f t="shared" si="18"/>
        <v>5.12</v>
      </c>
    </row>
    <row r="42" spans="1:29" hidden="1" x14ac:dyDescent="0.3">
      <c r="A42" s="120" t="s">
        <v>19</v>
      </c>
      <c r="B42" s="117"/>
      <c r="C42" s="49">
        <f t="shared" si="19"/>
        <v>1</v>
      </c>
      <c r="D42" s="53">
        <f t="shared" si="10"/>
        <v>1</v>
      </c>
      <c r="E42" s="49">
        <f t="shared" si="11"/>
        <v>2</v>
      </c>
      <c r="F42" s="49">
        <f t="shared" si="12"/>
        <v>2</v>
      </c>
      <c r="G42" s="49">
        <f t="shared" si="13"/>
        <v>2</v>
      </c>
      <c r="H42" s="49">
        <f t="shared" si="14"/>
        <v>2</v>
      </c>
      <c r="I42" s="49">
        <f t="shared" si="15"/>
        <v>3</v>
      </c>
      <c r="J42" s="49">
        <f t="shared" si="16"/>
        <v>4</v>
      </c>
      <c r="K42" s="49">
        <f t="shared" si="17"/>
        <v>4</v>
      </c>
      <c r="L42" s="49">
        <v>5.04</v>
      </c>
      <c r="M42" s="79">
        <f t="shared" si="18"/>
        <v>5</v>
      </c>
    </row>
    <row r="43" spans="1:29" hidden="1" x14ac:dyDescent="0.3">
      <c r="A43" s="120" t="s">
        <v>20</v>
      </c>
      <c r="B43" s="117"/>
      <c r="C43" s="49">
        <f t="shared" si="19"/>
        <v>1</v>
      </c>
      <c r="D43" s="53">
        <f t="shared" si="10"/>
        <v>1</v>
      </c>
      <c r="E43" s="49">
        <f t="shared" si="11"/>
        <v>2</v>
      </c>
      <c r="F43" s="49">
        <f t="shared" si="12"/>
        <v>2</v>
      </c>
      <c r="G43" s="49">
        <f t="shared" si="13"/>
        <v>2</v>
      </c>
      <c r="H43" s="49">
        <f t="shared" si="14"/>
        <v>2</v>
      </c>
      <c r="I43" s="49">
        <f t="shared" si="15"/>
        <v>3</v>
      </c>
      <c r="J43" s="49">
        <f t="shared" si="16"/>
        <v>4</v>
      </c>
      <c r="K43" s="49">
        <f t="shared" si="17"/>
        <v>4</v>
      </c>
      <c r="L43" s="49">
        <v>5.05</v>
      </c>
      <c r="M43" s="79">
        <f t="shared" si="18"/>
        <v>5</v>
      </c>
    </row>
    <row r="44" spans="1:29" hidden="1" x14ac:dyDescent="0.3">
      <c r="A44" s="120" t="s">
        <v>165</v>
      </c>
      <c r="B44" s="117"/>
      <c r="C44" s="49">
        <f t="shared" si="19"/>
        <v>1</v>
      </c>
      <c r="D44" s="53">
        <f t="shared" si="10"/>
        <v>1</v>
      </c>
      <c r="E44" s="49">
        <f t="shared" si="11"/>
        <v>2</v>
      </c>
      <c r="F44" s="49">
        <f t="shared" si="12"/>
        <v>2</v>
      </c>
      <c r="G44" s="49">
        <f t="shared" si="13"/>
        <v>2</v>
      </c>
      <c r="H44" s="49">
        <f t="shared" si="14"/>
        <v>2</v>
      </c>
      <c r="I44" s="49">
        <f t="shared" si="15"/>
        <v>3</v>
      </c>
      <c r="J44" s="49">
        <f t="shared" si="16"/>
        <v>4</v>
      </c>
      <c r="K44" s="49">
        <f t="shared" si="17"/>
        <v>4</v>
      </c>
      <c r="L44" s="49">
        <v>5.0599999999999996</v>
      </c>
      <c r="M44" s="79">
        <f t="shared" si="18"/>
        <v>5</v>
      </c>
    </row>
    <row r="45" spans="1:29" ht="15" hidden="1" customHeight="1" thickBot="1" x14ac:dyDescent="0.35">
      <c r="A45" s="121" t="s">
        <v>204</v>
      </c>
      <c r="B45" s="122"/>
      <c r="C45" s="80">
        <f t="shared" si="19"/>
        <v>1</v>
      </c>
      <c r="D45" s="113">
        <f t="shared" si="10"/>
        <v>1</v>
      </c>
      <c r="E45" s="80">
        <f t="shared" si="11"/>
        <v>2</v>
      </c>
      <c r="F45" s="80">
        <f t="shared" si="12"/>
        <v>2</v>
      </c>
      <c r="G45" s="80">
        <f t="shared" si="13"/>
        <v>2</v>
      </c>
      <c r="H45" s="80">
        <f t="shared" si="14"/>
        <v>2</v>
      </c>
      <c r="I45" s="80">
        <f t="shared" si="15"/>
        <v>3</v>
      </c>
      <c r="J45" s="80">
        <f t="shared" si="16"/>
        <v>4</v>
      </c>
      <c r="K45" s="80">
        <f t="shared" si="17"/>
        <v>4</v>
      </c>
      <c r="L45" s="80">
        <v>5.07</v>
      </c>
      <c r="M45" s="81">
        <f t="shared" si="18"/>
        <v>5</v>
      </c>
    </row>
    <row r="46" spans="1:29" ht="15" hidden="1" customHeight="1" x14ac:dyDescent="0.3">
      <c r="A46" s="116"/>
      <c r="B46" s="116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</row>
    <row r="47" spans="1:29" ht="15" hidden="1" customHeight="1" thickBo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AC47" s="39"/>
    </row>
    <row r="48" spans="1:29" ht="15" hidden="1" thickBot="1" x14ac:dyDescent="0.35">
      <c r="A48" s="110" t="s">
        <v>191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2"/>
      <c r="AC48" s="39"/>
    </row>
    <row r="49" spans="1:29" ht="15.75" hidden="1" customHeight="1" x14ac:dyDescent="0.3">
      <c r="A49" s="82" t="s">
        <v>22</v>
      </c>
      <c r="B49" s="50" t="s">
        <v>29</v>
      </c>
      <c r="C49" s="50" t="s">
        <v>31</v>
      </c>
      <c r="D49" s="50" t="s">
        <v>33</v>
      </c>
      <c r="E49" s="50" t="s">
        <v>35</v>
      </c>
      <c r="F49" s="82" t="s">
        <v>24</v>
      </c>
      <c r="G49" s="50" t="s">
        <v>28</v>
      </c>
      <c r="H49" s="50" t="s">
        <v>38</v>
      </c>
      <c r="I49" s="50" t="s">
        <v>23</v>
      </c>
      <c r="J49" s="50" t="s">
        <v>32</v>
      </c>
      <c r="K49" s="82" t="s">
        <v>26</v>
      </c>
      <c r="L49" s="50" t="s">
        <v>40</v>
      </c>
      <c r="M49" s="50" t="s">
        <v>41</v>
      </c>
      <c r="AC49" s="39"/>
    </row>
    <row r="50" spans="1:29" ht="15.75" hidden="1" customHeight="1" x14ac:dyDescent="0.3">
      <c r="A50" s="83"/>
      <c r="B50" s="51" t="s">
        <v>151</v>
      </c>
      <c r="C50" s="51" t="s">
        <v>152</v>
      </c>
      <c r="D50" s="51" t="s">
        <v>153</v>
      </c>
      <c r="E50" s="51" t="s">
        <v>154</v>
      </c>
      <c r="F50" s="83"/>
      <c r="G50" s="51" t="s">
        <v>157</v>
      </c>
      <c r="H50" s="51" t="s">
        <v>155</v>
      </c>
      <c r="I50" s="51" t="s">
        <v>156</v>
      </c>
      <c r="J50" s="51" t="s">
        <v>158</v>
      </c>
      <c r="K50" s="83"/>
      <c r="L50" s="51" t="s">
        <v>159</v>
      </c>
      <c r="M50" s="51" t="s">
        <v>160</v>
      </c>
      <c r="AC50" s="39"/>
    </row>
    <row r="51" spans="1:29" ht="15" hidden="1" customHeight="1" x14ac:dyDescent="0.3">
      <c r="A51" s="83"/>
      <c r="B51" s="55">
        <v>1.01</v>
      </c>
      <c r="C51" s="56">
        <v>2.0099999999999998</v>
      </c>
      <c r="D51" s="56">
        <v>4.01</v>
      </c>
      <c r="E51" s="56">
        <v>5.01</v>
      </c>
      <c r="F51" s="83"/>
      <c r="G51" s="56">
        <v>2.0499999999999998</v>
      </c>
      <c r="H51" s="56">
        <v>3.05</v>
      </c>
      <c r="I51" s="56">
        <v>1.05</v>
      </c>
      <c r="J51" s="56">
        <v>5.05</v>
      </c>
      <c r="K51" s="83"/>
      <c r="L51" s="56">
        <v>1.06</v>
      </c>
      <c r="M51" s="56">
        <v>1.06</v>
      </c>
      <c r="AC51" s="39"/>
    </row>
    <row r="52" spans="1:29" ht="15.75" hidden="1" customHeight="1" x14ac:dyDescent="0.3">
      <c r="A52" s="83"/>
      <c r="B52" s="56">
        <v>1.02</v>
      </c>
      <c r="C52" s="56">
        <v>2.02</v>
      </c>
      <c r="D52" s="56">
        <v>4.0199999999999996</v>
      </c>
      <c r="E52" s="56">
        <v>5.0199999999999996</v>
      </c>
      <c r="F52" s="83"/>
      <c r="G52" s="56">
        <v>3.05</v>
      </c>
      <c r="H52" s="56"/>
      <c r="I52" s="56">
        <v>3.05</v>
      </c>
      <c r="J52" s="56"/>
      <c r="K52" s="83"/>
      <c r="L52" s="56">
        <v>2.06</v>
      </c>
      <c r="M52" s="56">
        <v>2.06</v>
      </c>
      <c r="AC52" s="39"/>
    </row>
    <row r="53" spans="1:29" hidden="1" x14ac:dyDescent="0.3">
      <c r="A53" s="83"/>
      <c r="B53" s="56">
        <v>1.03</v>
      </c>
      <c r="C53" s="56">
        <v>2.0299999999999998</v>
      </c>
      <c r="D53" s="56">
        <v>4.03</v>
      </c>
      <c r="E53" s="56">
        <v>5.03</v>
      </c>
      <c r="F53" s="83"/>
      <c r="G53" s="56"/>
      <c r="H53" s="56"/>
      <c r="I53" s="56">
        <v>4.05</v>
      </c>
      <c r="J53" s="56"/>
      <c r="K53" s="83"/>
      <c r="L53" s="56">
        <v>3.06</v>
      </c>
      <c r="M53" s="56">
        <v>3.06</v>
      </c>
      <c r="AC53" s="39"/>
    </row>
    <row r="54" spans="1:29" hidden="1" x14ac:dyDescent="0.3">
      <c r="A54" s="83"/>
      <c r="B54" s="56">
        <v>1.04</v>
      </c>
      <c r="C54" s="56">
        <v>2.04</v>
      </c>
      <c r="D54" s="56">
        <v>4.04</v>
      </c>
      <c r="E54" s="56">
        <v>5.04</v>
      </c>
      <c r="F54" s="83"/>
      <c r="G54" s="56"/>
      <c r="H54" s="56"/>
      <c r="I54" s="56"/>
      <c r="J54" s="56"/>
      <c r="K54" s="83"/>
      <c r="L54" s="56">
        <v>4.0599999999999996</v>
      </c>
      <c r="M54" s="56">
        <v>4.0599999999999996</v>
      </c>
      <c r="AC54" s="39"/>
    </row>
    <row r="55" spans="1:29" hidden="1" x14ac:dyDescent="0.3">
      <c r="A55" s="83"/>
      <c r="B55" s="56">
        <v>1.07</v>
      </c>
      <c r="C55" s="56">
        <v>2.0699999999999998</v>
      </c>
      <c r="D55" s="56">
        <v>4.07</v>
      </c>
      <c r="E55" s="56">
        <v>5.07</v>
      </c>
      <c r="F55" s="83"/>
      <c r="G55" s="56"/>
      <c r="H55" s="56"/>
      <c r="I55" s="56"/>
      <c r="J55" s="56"/>
      <c r="K55" s="83"/>
      <c r="L55" s="56">
        <v>5.0599999999999996</v>
      </c>
      <c r="M55" s="56">
        <v>5.0599999999999996</v>
      </c>
      <c r="AC55" s="39"/>
    </row>
    <row r="56" spans="1:29" hidden="1" x14ac:dyDescent="0.3">
      <c r="A56" s="83"/>
      <c r="B56" s="56">
        <v>3.01</v>
      </c>
      <c r="C56" s="56">
        <v>3.01</v>
      </c>
      <c r="D56" s="56"/>
      <c r="E56" s="56"/>
      <c r="F56" s="83"/>
      <c r="G56" s="56"/>
      <c r="H56" s="56"/>
      <c r="I56" s="56"/>
      <c r="J56" s="56"/>
      <c r="K56" s="83"/>
      <c r="L56" s="56"/>
      <c r="M56" s="56"/>
      <c r="AC56" s="39"/>
    </row>
    <row r="57" spans="1:29" ht="15.75" hidden="1" customHeight="1" x14ac:dyDescent="0.3">
      <c r="A57" s="83"/>
      <c r="B57" s="56">
        <v>3.02</v>
      </c>
      <c r="C57" s="56">
        <v>3.02</v>
      </c>
      <c r="D57" s="56"/>
      <c r="E57" s="56"/>
      <c r="F57" s="83"/>
      <c r="G57" s="56"/>
      <c r="H57" s="56"/>
      <c r="I57" s="56"/>
      <c r="J57" s="56"/>
      <c r="K57" s="83"/>
      <c r="L57" s="56"/>
      <c r="M57" s="56"/>
      <c r="AC57" s="39"/>
    </row>
    <row r="58" spans="1:29" hidden="1" x14ac:dyDescent="0.3">
      <c r="A58" s="83"/>
      <c r="B58" s="56">
        <v>3.03</v>
      </c>
      <c r="C58" s="56">
        <v>3.03</v>
      </c>
      <c r="D58" s="56"/>
      <c r="E58" s="56"/>
      <c r="F58" s="83"/>
      <c r="G58" s="56"/>
      <c r="H58" s="56"/>
      <c r="I58" s="56"/>
      <c r="J58" s="56"/>
      <c r="K58" s="83"/>
      <c r="L58" s="56"/>
      <c r="M58" s="56"/>
      <c r="AC58" s="39"/>
    </row>
    <row r="59" spans="1:29" hidden="1" x14ac:dyDescent="0.3">
      <c r="A59" s="83"/>
      <c r="B59" s="56">
        <v>3.04</v>
      </c>
      <c r="C59" s="56">
        <v>3.04</v>
      </c>
      <c r="D59" s="56"/>
      <c r="E59" s="56"/>
      <c r="F59" s="83"/>
      <c r="G59" s="56"/>
      <c r="H59" s="56"/>
      <c r="I59" s="56"/>
      <c r="J59" s="56"/>
      <c r="K59" s="83"/>
      <c r="L59" s="56"/>
      <c r="M59" s="56"/>
      <c r="AC59" s="39"/>
    </row>
    <row r="60" spans="1:29" hidden="1" x14ac:dyDescent="0.3">
      <c r="A60" s="83"/>
      <c r="B60" s="56">
        <v>3.07</v>
      </c>
      <c r="C60" s="56">
        <v>3.07</v>
      </c>
      <c r="D60" s="56"/>
      <c r="E60" s="56"/>
      <c r="F60" s="83"/>
      <c r="G60" s="56"/>
      <c r="H60" s="56"/>
      <c r="I60" s="56"/>
      <c r="J60" s="56"/>
      <c r="K60" s="83"/>
      <c r="L60" s="56"/>
      <c r="M60" s="56"/>
    </row>
    <row r="61" spans="1:29" hidden="1" x14ac:dyDescent="0.3">
      <c r="A61" s="83"/>
      <c r="B61" s="56">
        <v>4.01</v>
      </c>
      <c r="C61" s="56"/>
      <c r="D61" s="56"/>
      <c r="E61" s="56"/>
      <c r="F61" s="83"/>
      <c r="G61" s="56"/>
      <c r="H61" s="56"/>
      <c r="I61" s="56"/>
      <c r="J61" s="56"/>
      <c r="K61" s="83"/>
      <c r="L61" s="56"/>
      <c r="M61" s="56"/>
    </row>
    <row r="62" spans="1:29" hidden="1" x14ac:dyDescent="0.3">
      <c r="A62" s="83"/>
      <c r="B62" s="56">
        <v>4.0199999999999996</v>
      </c>
      <c r="C62" s="56"/>
      <c r="D62" s="56"/>
      <c r="E62" s="56"/>
      <c r="F62" s="83"/>
      <c r="G62" s="56"/>
      <c r="H62" s="56"/>
      <c r="I62" s="56"/>
      <c r="J62" s="56"/>
      <c r="K62" s="83"/>
      <c r="L62" s="56"/>
      <c r="M62" s="56"/>
    </row>
    <row r="63" spans="1:29" hidden="1" x14ac:dyDescent="0.3">
      <c r="A63" s="83"/>
      <c r="B63" s="56">
        <v>4.03</v>
      </c>
      <c r="C63" s="56"/>
      <c r="D63" s="56"/>
      <c r="E63" s="56"/>
      <c r="F63" s="83"/>
      <c r="G63" s="56"/>
      <c r="H63" s="56"/>
      <c r="I63" s="56"/>
      <c r="J63" s="56"/>
      <c r="K63" s="83"/>
      <c r="L63" s="56"/>
      <c r="M63" s="56"/>
    </row>
    <row r="64" spans="1:29" hidden="1" x14ac:dyDescent="0.3">
      <c r="A64" s="83"/>
      <c r="B64" s="56">
        <v>4.04</v>
      </c>
      <c r="C64" s="56"/>
      <c r="D64" s="56"/>
      <c r="E64" s="56"/>
      <c r="F64" s="83"/>
      <c r="G64" s="56"/>
      <c r="H64" s="56"/>
      <c r="I64" s="56"/>
      <c r="J64" s="56"/>
      <c r="K64" s="83"/>
      <c r="L64" s="56"/>
      <c r="M64" s="56"/>
    </row>
    <row r="65" spans="1:20" hidden="1" x14ac:dyDescent="0.3">
      <c r="A65" s="83"/>
      <c r="B65" s="56">
        <v>4.07</v>
      </c>
      <c r="C65" s="56"/>
      <c r="D65" s="56"/>
      <c r="E65" s="56"/>
      <c r="F65" s="83"/>
      <c r="G65" s="56"/>
      <c r="H65" s="56"/>
      <c r="I65" s="56"/>
      <c r="J65" s="56"/>
      <c r="K65" s="83"/>
      <c r="L65" s="56"/>
      <c r="M65" s="56"/>
    </row>
    <row r="66" spans="1:20" hidden="1" x14ac:dyDescent="0.3">
      <c r="A66" s="83"/>
      <c r="B66" s="56"/>
      <c r="C66" s="56"/>
      <c r="D66" s="56"/>
      <c r="E66" s="56"/>
      <c r="F66" s="83"/>
      <c r="G66" s="56"/>
      <c r="H66" s="56"/>
      <c r="I66" s="56"/>
      <c r="J66" s="56"/>
      <c r="K66" s="83"/>
      <c r="L66" s="56"/>
      <c r="M66" s="56"/>
    </row>
    <row r="67" spans="1:20" hidden="1" x14ac:dyDescent="0.3">
      <c r="A67" s="83"/>
      <c r="B67" s="56"/>
      <c r="C67" s="56"/>
      <c r="D67" s="56"/>
      <c r="E67" s="56"/>
      <c r="F67" s="83"/>
      <c r="G67" s="56"/>
      <c r="H67" s="56"/>
      <c r="I67" s="56"/>
      <c r="J67" s="56"/>
      <c r="K67" s="83"/>
      <c r="L67" s="56"/>
      <c r="M67" s="56"/>
    </row>
    <row r="68" spans="1:20" hidden="1" x14ac:dyDescent="0.3">
      <c r="A68" s="84"/>
      <c r="B68" s="56" t="s">
        <v>195</v>
      </c>
      <c r="C68" s="56">
        <v>1780</v>
      </c>
      <c r="D68" s="56" t="s">
        <v>196</v>
      </c>
      <c r="E68" s="56" t="s">
        <v>197</v>
      </c>
      <c r="F68" s="84"/>
      <c r="G68" s="56" t="s">
        <v>198</v>
      </c>
      <c r="H68" s="56" t="s">
        <v>198</v>
      </c>
      <c r="I68" s="56" t="s">
        <v>195</v>
      </c>
      <c r="J68" s="56" t="s">
        <v>197</v>
      </c>
      <c r="K68" s="84"/>
      <c r="L68" s="56" t="s">
        <v>198</v>
      </c>
      <c r="M68" s="56"/>
    </row>
    <row r="69" spans="1:20" hidden="1" x14ac:dyDescent="0.3">
      <c r="A69" s="35"/>
      <c r="B69" s="39"/>
      <c r="C69" s="39"/>
      <c r="D69" s="39"/>
      <c r="E69" s="39"/>
      <c r="F69" s="39"/>
      <c r="G69" s="39"/>
      <c r="H69" s="39"/>
      <c r="I69" s="39"/>
    </row>
    <row r="70" spans="1:20" ht="15" hidden="1" thickBot="1" x14ac:dyDescent="0.35">
      <c r="A70" s="35"/>
      <c r="B70" s="39"/>
      <c r="C70" s="39"/>
      <c r="D70" s="39"/>
      <c r="E70" s="39"/>
      <c r="F70" s="39"/>
      <c r="G70" s="39"/>
      <c r="H70" s="39"/>
      <c r="I70" s="39"/>
    </row>
    <row r="71" spans="1:20" ht="15" hidden="1" thickBot="1" x14ac:dyDescent="0.35">
      <c r="A71" s="110" t="s">
        <v>193</v>
      </c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2"/>
      <c r="O71"/>
      <c r="P71"/>
      <c r="Q71"/>
      <c r="R71"/>
      <c r="S71"/>
      <c r="T71"/>
    </row>
    <row r="72" spans="1:20" ht="15.75" hidden="1" customHeight="1" x14ac:dyDescent="0.3">
      <c r="A72" s="68"/>
      <c r="B72" s="65" t="s">
        <v>7</v>
      </c>
      <c r="C72" s="61" t="s">
        <v>21</v>
      </c>
      <c r="D72" s="61" t="s">
        <v>380</v>
      </c>
      <c r="E72" s="61" t="s">
        <v>25</v>
      </c>
      <c r="F72" s="61" t="s">
        <v>27</v>
      </c>
      <c r="G72" s="61" t="s">
        <v>28</v>
      </c>
      <c r="H72" s="61" t="s">
        <v>30</v>
      </c>
      <c r="I72" s="61" t="s">
        <v>34</v>
      </c>
      <c r="J72" s="61" t="s">
        <v>33</v>
      </c>
      <c r="K72" s="61" t="s">
        <v>37</v>
      </c>
      <c r="L72" s="61" t="s">
        <v>190</v>
      </c>
      <c r="M72" s="62" t="s">
        <v>32</v>
      </c>
    </row>
    <row r="73" spans="1:20" ht="15" hidden="1" thickBot="1" x14ac:dyDescent="0.35">
      <c r="A73" s="66" t="s">
        <v>6</v>
      </c>
      <c r="B73" s="67" t="s">
        <v>174</v>
      </c>
      <c r="C73" s="63" t="s">
        <v>179</v>
      </c>
      <c r="D73" s="63" t="s">
        <v>179</v>
      </c>
      <c r="E73" s="63" t="s">
        <v>180</v>
      </c>
      <c r="F73" s="63" t="s">
        <v>180</v>
      </c>
      <c r="G73" s="63" t="s">
        <v>180</v>
      </c>
      <c r="H73" s="63" t="s">
        <v>180</v>
      </c>
      <c r="I73" s="63" t="s">
        <v>181</v>
      </c>
      <c r="J73" s="63" t="s">
        <v>182</v>
      </c>
      <c r="K73" s="63" t="s">
        <v>182</v>
      </c>
      <c r="L73" s="63" t="s">
        <v>182</v>
      </c>
      <c r="M73" s="64" t="s">
        <v>208</v>
      </c>
    </row>
    <row r="74" spans="1:20" hidden="1" x14ac:dyDescent="0.3">
      <c r="A74" s="57" t="s">
        <v>29</v>
      </c>
      <c r="B74" s="58" t="s">
        <v>151</v>
      </c>
      <c r="C74" s="69" t="s">
        <v>170</v>
      </c>
      <c r="D74" s="69" t="s">
        <v>170</v>
      </c>
      <c r="E74" s="70" t="s">
        <v>169</v>
      </c>
      <c r="F74" s="70" t="s">
        <v>169</v>
      </c>
      <c r="G74" s="70" t="s">
        <v>169</v>
      </c>
      <c r="H74" s="70" t="s">
        <v>169</v>
      </c>
      <c r="I74" s="55" t="s">
        <v>186</v>
      </c>
      <c r="J74" s="55" t="s">
        <v>216</v>
      </c>
      <c r="K74" s="55" t="s">
        <v>216</v>
      </c>
      <c r="L74" s="71" t="s">
        <v>169</v>
      </c>
      <c r="M74" s="70" t="s">
        <v>169</v>
      </c>
    </row>
    <row r="75" spans="1:20" hidden="1" x14ac:dyDescent="0.3">
      <c r="A75" s="57" t="s">
        <v>31</v>
      </c>
      <c r="B75" s="58" t="s">
        <v>152</v>
      </c>
      <c r="C75" s="71" t="s">
        <v>169</v>
      </c>
      <c r="D75" s="71" t="s">
        <v>169</v>
      </c>
      <c r="E75" s="56" t="s">
        <v>175</v>
      </c>
      <c r="F75" s="56" t="s">
        <v>175</v>
      </c>
      <c r="G75" s="56" t="s">
        <v>175</v>
      </c>
      <c r="H75" s="56" t="s">
        <v>175</v>
      </c>
      <c r="I75" s="56" t="s">
        <v>209</v>
      </c>
      <c r="J75" s="71" t="s">
        <v>169</v>
      </c>
      <c r="K75" s="71" t="s">
        <v>169</v>
      </c>
      <c r="L75" s="71" t="s">
        <v>169</v>
      </c>
      <c r="M75" s="71" t="s">
        <v>169</v>
      </c>
    </row>
    <row r="76" spans="1:20" hidden="1" x14ac:dyDescent="0.3">
      <c r="A76" s="57" t="s">
        <v>33</v>
      </c>
      <c r="B76" s="58" t="s">
        <v>153</v>
      </c>
      <c r="C76" s="71" t="s">
        <v>169</v>
      </c>
      <c r="D76" s="71" t="s">
        <v>169</v>
      </c>
      <c r="E76" s="71" t="s">
        <v>169</v>
      </c>
      <c r="F76" s="71" t="s">
        <v>169</v>
      </c>
      <c r="G76" s="71" t="s">
        <v>169</v>
      </c>
      <c r="H76" s="71" t="s">
        <v>169</v>
      </c>
      <c r="I76" s="71" t="s">
        <v>169</v>
      </c>
      <c r="J76" s="56" t="s">
        <v>217</v>
      </c>
      <c r="K76" s="56" t="s">
        <v>217</v>
      </c>
      <c r="L76" s="56" t="s">
        <v>217</v>
      </c>
      <c r="M76" s="71" t="s">
        <v>169</v>
      </c>
    </row>
    <row r="77" spans="1:20" hidden="1" x14ac:dyDescent="0.3">
      <c r="A77" s="57" t="s">
        <v>35</v>
      </c>
      <c r="B77" s="58" t="s">
        <v>154</v>
      </c>
      <c r="C77" s="71" t="s">
        <v>169</v>
      </c>
      <c r="D77" s="71" t="s">
        <v>169</v>
      </c>
      <c r="E77" s="71" t="s">
        <v>169</v>
      </c>
      <c r="F77" s="71" t="s">
        <v>169</v>
      </c>
      <c r="G77" s="71" t="s">
        <v>169</v>
      </c>
      <c r="H77" s="71" t="s">
        <v>169</v>
      </c>
      <c r="I77" s="71" t="s">
        <v>169</v>
      </c>
      <c r="J77" s="71" t="s">
        <v>169</v>
      </c>
      <c r="K77" s="71" t="s">
        <v>169</v>
      </c>
      <c r="L77" s="71" t="s">
        <v>169</v>
      </c>
      <c r="M77" s="56" t="s">
        <v>212</v>
      </c>
    </row>
    <row r="78" spans="1:20" hidden="1" x14ac:dyDescent="0.3">
      <c r="A78" s="57" t="s">
        <v>28</v>
      </c>
      <c r="B78" s="58" t="s">
        <v>157</v>
      </c>
      <c r="C78" s="71" t="s">
        <v>169</v>
      </c>
      <c r="D78" s="71" t="s">
        <v>169</v>
      </c>
      <c r="E78" s="56" t="s">
        <v>176</v>
      </c>
      <c r="F78" s="56" t="s">
        <v>176</v>
      </c>
      <c r="G78" s="56" t="s">
        <v>176</v>
      </c>
      <c r="H78" s="56" t="s">
        <v>176</v>
      </c>
      <c r="I78" s="56" t="s">
        <v>210</v>
      </c>
      <c r="J78" s="71" t="s">
        <v>169</v>
      </c>
      <c r="K78" s="71" t="s">
        <v>169</v>
      </c>
      <c r="L78" s="71" t="s">
        <v>169</v>
      </c>
      <c r="M78" s="71" t="s">
        <v>169</v>
      </c>
    </row>
    <row r="79" spans="1:20" hidden="1" x14ac:dyDescent="0.3">
      <c r="A79" s="57" t="s">
        <v>38</v>
      </c>
      <c r="B79" s="58" t="s">
        <v>155</v>
      </c>
      <c r="C79" s="71" t="s">
        <v>169</v>
      </c>
      <c r="D79" s="71" t="s">
        <v>169</v>
      </c>
      <c r="E79" s="71" t="s">
        <v>169</v>
      </c>
      <c r="F79" s="71" t="s">
        <v>169</v>
      </c>
      <c r="G79" s="71" t="s">
        <v>169</v>
      </c>
      <c r="H79" s="71" t="s">
        <v>169</v>
      </c>
      <c r="I79" s="56" t="s">
        <v>211</v>
      </c>
      <c r="J79" s="71" t="s">
        <v>169</v>
      </c>
      <c r="K79" s="71" t="s">
        <v>169</v>
      </c>
      <c r="L79" s="71" t="s">
        <v>169</v>
      </c>
      <c r="M79" s="71" t="s">
        <v>169</v>
      </c>
    </row>
    <row r="80" spans="1:20" hidden="1" x14ac:dyDescent="0.3">
      <c r="A80" s="57" t="s">
        <v>23</v>
      </c>
      <c r="B80" s="58" t="s">
        <v>156</v>
      </c>
      <c r="C80" s="72" t="s">
        <v>171</v>
      </c>
      <c r="D80" s="72" t="s">
        <v>171</v>
      </c>
      <c r="E80" s="71" t="s">
        <v>169</v>
      </c>
      <c r="F80" s="71" t="s">
        <v>169</v>
      </c>
      <c r="G80" s="71" t="s">
        <v>169</v>
      </c>
      <c r="H80" s="71" t="s">
        <v>169</v>
      </c>
      <c r="I80" s="56" t="s">
        <v>183</v>
      </c>
      <c r="J80" s="56" t="s">
        <v>218</v>
      </c>
      <c r="K80" s="56" t="s">
        <v>218</v>
      </c>
      <c r="L80" s="71" t="s">
        <v>169</v>
      </c>
      <c r="M80" s="71" t="s">
        <v>169</v>
      </c>
    </row>
    <row r="81" spans="1:13" hidden="1" x14ac:dyDescent="0.3">
      <c r="A81" s="57" t="s">
        <v>32</v>
      </c>
      <c r="B81" s="58" t="s">
        <v>158</v>
      </c>
      <c r="C81" s="71" t="s">
        <v>169</v>
      </c>
      <c r="D81" s="71" t="s">
        <v>169</v>
      </c>
      <c r="E81" s="71" t="s">
        <v>169</v>
      </c>
      <c r="F81" s="71" t="s">
        <v>169</v>
      </c>
      <c r="G81" s="71" t="s">
        <v>169</v>
      </c>
      <c r="H81" s="71" t="s">
        <v>169</v>
      </c>
      <c r="I81" s="71" t="s">
        <v>169</v>
      </c>
      <c r="J81" s="71" t="s">
        <v>169</v>
      </c>
      <c r="K81" s="71" t="s">
        <v>169</v>
      </c>
      <c r="L81" s="56" t="s">
        <v>187</v>
      </c>
      <c r="M81" s="56" t="s">
        <v>213</v>
      </c>
    </row>
    <row r="82" spans="1:13" hidden="1" x14ac:dyDescent="0.3">
      <c r="A82" s="57" t="s">
        <v>40</v>
      </c>
      <c r="B82" s="58" t="s">
        <v>159</v>
      </c>
      <c r="C82" s="72" t="s">
        <v>172</v>
      </c>
      <c r="D82" s="72" t="s">
        <v>172</v>
      </c>
      <c r="E82" s="56" t="s">
        <v>177</v>
      </c>
      <c r="F82" s="56" t="s">
        <v>177</v>
      </c>
      <c r="G82" s="56" t="s">
        <v>177</v>
      </c>
      <c r="H82" s="56" t="s">
        <v>177</v>
      </c>
      <c r="I82" s="56" t="s">
        <v>184</v>
      </c>
      <c r="J82" s="56" t="s">
        <v>188</v>
      </c>
      <c r="K82" s="56" t="s">
        <v>188</v>
      </c>
      <c r="L82" s="56" t="s">
        <v>188</v>
      </c>
      <c r="M82" s="56" t="s">
        <v>214</v>
      </c>
    </row>
    <row r="83" spans="1:13" ht="15" hidden="1" thickBot="1" x14ac:dyDescent="0.35">
      <c r="A83" s="59" t="s">
        <v>41</v>
      </c>
      <c r="B83" s="60" t="s">
        <v>160</v>
      </c>
      <c r="C83" s="72" t="s">
        <v>173</v>
      </c>
      <c r="D83" s="72" t="s">
        <v>173</v>
      </c>
      <c r="E83" s="56" t="s">
        <v>178</v>
      </c>
      <c r="F83" s="56" t="s">
        <v>178</v>
      </c>
      <c r="G83" s="56" t="s">
        <v>178</v>
      </c>
      <c r="H83" s="56" t="s">
        <v>178</v>
      </c>
      <c r="I83" s="56" t="s">
        <v>185</v>
      </c>
      <c r="J83" s="56" t="s">
        <v>189</v>
      </c>
      <c r="K83" s="56" t="s">
        <v>189</v>
      </c>
      <c r="L83" s="56" t="s">
        <v>189</v>
      </c>
      <c r="M83" s="56" t="s">
        <v>215</v>
      </c>
    </row>
    <row r="84" spans="1:13" x14ac:dyDescent="0.3">
      <c r="A84" s="35"/>
      <c r="B84" s="39"/>
      <c r="C84" s="39"/>
      <c r="D84" s="39"/>
      <c r="E84" s="39"/>
      <c r="F84" s="39"/>
      <c r="G84" s="39"/>
      <c r="H84" s="39"/>
      <c r="I84" s="39"/>
    </row>
    <row r="85" spans="1:13" ht="15" thickBot="1" x14ac:dyDescent="0.35">
      <c r="A85" s="35"/>
      <c r="B85" s="39"/>
      <c r="C85" s="39"/>
      <c r="D85" s="39"/>
      <c r="E85" s="39"/>
      <c r="F85" s="39"/>
      <c r="G85" s="39"/>
      <c r="H85" s="39"/>
      <c r="I85" s="39"/>
    </row>
    <row r="86" spans="1:13" ht="15" thickBot="1" x14ac:dyDescent="0.35">
      <c r="A86" s="110" t="s">
        <v>207</v>
      </c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8"/>
    </row>
    <row r="87" spans="1:13" x14ac:dyDescent="0.3">
      <c r="A87" s="68"/>
      <c r="B87" s="65" t="s">
        <v>7</v>
      </c>
      <c r="C87" s="61" t="s">
        <v>21</v>
      </c>
      <c r="D87" s="61" t="s">
        <v>380</v>
      </c>
      <c r="E87" s="61" t="s">
        <v>25</v>
      </c>
      <c r="F87" s="61" t="s">
        <v>27</v>
      </c>
      <c r="G87" s="61" t="s">
        <v>28</v>
      </c>
      <c r="H87" s="61" t="s">
        <v>30</v>
      </c>
      <c r="I87" s="61" t="s">
        <v>34</v>
      </c>
      <c r="J87" s="61" t="s">
        <v>33</v>
      </c>
      <c r="K87" s="61" t="s">
        <v>37</v>
      </c>
      <c r="L87" s="61" t="s">
        <v>190</v>
      </c>
      <c r="M87" s="62" t="s">
        <v>32</v>
      </c>
    </row>
    <row r="88" spans="1:13" ht="15" thickBot="1" x14ac:dyDescent="0.35">
      <c r="A88" s="66" t="s">
        <v>6</v>
      </c>
      <c r="B88" s="67" t="s">
        <v>174</v>
      </c>
      <c r="C88" s="86" t="s">
        <v>179</v>
      </c>
      <c r="D88" s="86" t="s">
        <v>179</v>
      </c>
      <c r="E88" s="86" t="s">
        <v>180</v>
      </c>
      <c r="F88" s="86" t="s">
        <v>180</v>
      </c>
      <c r="G88" s="86" t="s">
        <v>180</v>
      </c>
      <c r="H88" s="86" t="s">
        <v>180</v>
      </c>
      <c r="I88" s="86" t="s">
        <v>181</v>
      </c>
      <c r="J88" s="86" t="s">
        <v>182</v>
      </c>
      <c r="K88" s="86" t="s">
        <v>182</v>
      </c>
      <c r="L88" s="86" t="s">
        <v>208</v>
      </c>
      <c r="M88" s="87" t="s">
        <v>208</v>
      </c>
    </row>
    <row r="89" spans="1:13" x14ac:dyDescent="0.3">
      <c r="A89" s="109" t="s">
        <v>29</v>
      </c>
      <c r="B89" s="78" t="s">
        <v>151</v>
      </c>
      <c r="C89" s="101" t="s">
        <v>29</v>
      </c>
      <c r="D89" s="90" t="s">
        <v>29</v>
      </c>
      <c r="E89" s="98" t="s">
        <v>31</v>
      </c>
      <c r="F89" s="93" t="s">
        <v>31</v>
      </c>
      <c r="G89" s="188" t="s">
        <v>31</v>
      </c>
      <c r="H89" s="90" t="s">
        <v>31</v>
      </c>
      <c r="I89" s="98" t="s">
        <v>31</v>
      </c>
      <c r="J89" s="101" t="s">
        <v>33</v>
      </c>
      <c r="K89" s="98" t="s">
        <v>33</v>
      </c>
      <c r="L89" s="95" t="s">
        <v>33</v>
      </c>
      <c r="M89" s="98" t="s">
        <v>35</v>
      </c>
    </row>
    <row r="90" spans="1:13" x14ac:dyDescent="0.3">
      <c r="A90" s="57" t="s">
        <v>31</v>
      </c>
      <c r="B90" s="58" t="s">
        <v>152</v>
      </c>
      <c r="C90" s="102" t="s">
        <v>23</v>
      </c>
      <c r="D90" s="91" t="s">
        <v>23</v>
      </c>
      <c r="E90" s="99" t="s">
        <v>28</v>
      </c>
      <c r="F90" s="88" t="s">
        <v>28</v>
      </c>
      <c r="G90" s="189" t="s">
        <v>28</v>
      </c>
      <c r="H90" s="91" t="s">
        <v>28</v>
      </c>
      <c r="I90" s="99" t="s">
        <v>28</v>
      </c>
      <c r="J90" s="102" t="s">
        <v>29</v>
      </c>
      <c r="K90" s="99" t="s">
        <v>29</v>
      </c>
      <c r="L90" s="96" t="s">
        <v>35</v>
      </c>
      <c r="M90" s="99" t="s">
        <v>32</v>
      </c>
    </row>
    <row r="91" spans="1:13" x14ac:dyDescent="0.3">
      <c r="A91" s="57" t="s">
        <v>33</v>
      </c>
      <c r="B91" s="58" t="s">
        <v>153</v>
      </c>
      <c r="C91" s="102" t="s">
        <v>40</v>
      </c>
      <c r="D91" s="91" t="s">
        <v>40</v>
      </c>
      <c r="E91" s="99" t="s">
        <v>40</v>
      </c>
      <c r="F91" s="88" t="s">
        <v>40</v>
      </c>
      <c r="G91" s="189" t="s">
        <v>40</v>
      </c>
      <c r="H91" s="91" t="s">
        <v>40</v>
      </c>
      <c r="I91" s="99" t="s">
        <v>29</v>
      </c>
      <c r="J91" s="102" t="s">
        <v>23</v>
      </c>
      <c r="K91" s="99" t="s">
        <v>23</v>
      </c>
      <c r="L91" s="96" t="s">
        <v>32</v>
      </c>
      <c r="M91" s="99" t="s">
        <v>40</v>
      </c>
    </row>
    <row r="92" spans="1:13" ht="15" thickBot="1" x14ac:dyDescent="0.35">
      <c r="A92" s="57" t="s">
        <v>35</v>
      </c>
      <c r="B92" s="58" t="s">
        <v>154</v>
      </c>
      <c r="C92" s="103" t="s">
        <v>41</v>
      </c>
      <c r="D92" s="92" t="s">
        <v>41</v>
      </c>
      <c r="E92" s="100" t="s">
        <v>41</v>
      </c>
      <c r="F92" s="94" t="s">
        <v>41</v>
      </c>
      <c r="G92" s="190" t="s">
        <v>41</v>
      </c>
      <c r="H92" s="91" t="s">
        <v>41</v>
      </c>
      <c r="I92" s="99" t="s">
        <v>23</v>
      </c>
      <c r="J92" s="102" t="s">
        <v>40</v>
      </c>
      <c r="K92" s="99" t="s">
        <v>40</v>
      </c>
      <c r="L92" s="96" t="s">
        <v>40</v>
      </c>
      <c r="M92" s="100" t="s">
        <v>41</v>
      </c>
    </row>
    <row r="93" spans="1:13" ht="15" thickBot="1" x14ac:dyDescent="0.35">
      <c r="A93" s="57" t="s">
        <v>28</v>
      </c>
      <c r="B93" s="58" t="s">
        <v>157</v>
      </c>
      <c r="C93" s="106"/>
      <c r="D93" s="89"/>
      <c r="E93" s="89"/>
      <c r="F93" s="89"/>
      <c r="G93" s="104"/>
      <c r="H93" s="192" t="s">
        <v>38</v>
      </c>
      <c r="I93" s="99" t="s">
        <v>40</v>
      </c>
      <c r="J93" s="103" t="s">
        <v>41</v>
      </c>
      <c r="K93" s="100" t="s">
        <v>41</v>
      </c>
      <c r="L93" s="97" t="s">
        <v>41</v>
      </c>
      <c r="M93" s="106"/>
    </row>
    <row r="94" spans="1:13" x14ac:dyDescent="0.3">
      <c r="A94" s="57" t="s">
        <v>38</v>
      </c>
      <c r="B94" s="58" t="s">
        <v>155</v>
      </c>
      <c r="C94" s="53"/>
      <c r="D94" s="49"/>
      <c r="E94" s="49"/>
      <c r="F94" s="49"/>
      <c r="G94" s="49"/>
      <c r="H94" s="104"/>
      <c r="I94" s="99" t="s">
        <v>41</v>
      </c>
      <c r="J94" s="106"/>
      <c r="K94" s="89"/>
      <c r="L94" s="89"/>
      <c r="M94" s="49"/>
    </row>
    <row r="95" spans="1:13" ht="15" thickBot="1" x14ac:dyDescent="0.35">
      <c r="A95" s="57" t="s">
        <v>23</v>
      </c>
      <c r="B95" s="58" t="s">
        <v>156</v>
      </c>
      <c r="C95" s="53"/>
      <c r="D95" s="49"/>
      <c r="E95" s="49"/>
      <c r="F95" s="49"/>
      <c r="G95" s="49"/>
      <c r="H95" s="105"/>
      <c r="I95" s="191" t="s">
        <v>38</v>
      </c>
      <c r="J95" s="53"/>
      <c r="K95" s="49"/>
      <c r="L95" s="49"/>
      <c r="M95" s="49"/>
    </row>
    <row r="96" spans="1:13" x14ac:dyDescent="0.3">
      <c r="A96" s="57" t="s">
        <v>32</v>
      </c>
      <c r="B96" s="58" t="s">
        <v>158</v>
      </c>
      <c r="C96" s="53"/>
      <c r="D96" s="49"/>
      <c r="E96" s="49"/>
      <c r="F96" s="49"/>
      <c r="G96" s="49"/>
      <c r="H96" s="49"/>
      <c r="I96" s="89"/>
      <c r="J96" s="49"/>
      <c r="K96" s="49"/>
      <c r="L96" s="49"/>
      <c r="M96" s="49"/>
    </row>
    <row r="97" spans="1:13" x14ac:dyDescent="0.3">
      <c r="A97" s="57" t="s">
        <v>40</v>
      </c>
      <c r="B97" s="58" t="s">
        <v>159</v>
      </c>
      <c r="C97" s="53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 ht="15" thickBot="1" x14ac:dyDescent="0.35">
      <c r="A98" s="59" t="s">
        <v>41</v>
      </c>
      <c r="B98" s="60" t="s">
        <v>160</v>
      </c>
      <c r="C98" s="53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100" spans="1:13" ht="15" thickBot="1" x14ac:dyDescent="0.35"/>
    <row r="101" spans="1:13" ht="15" thickBot="1" x14ac:dyDescent="0.35">
      <c r="A101" s="110" t="s">
        <v>202</v>
      </c>
      <c r="B101" s="111"/>
      <c r="C101" s="111"/>
      <c r="D101" s="112"/>
      <c r="F101" s="35"/>
    </row>
    <row r="102" spans="1:13" ht="15" thickBot="1" x14ac:dyDescent="0.35">
      <c r="A102" s="156" t="s">
        <v>6</v>
      </c>
      <c r="B102" s="156" t="s">
        <v>200</v>
      </c>
      <c r="C102" s="156" t="s">
        <v>387</v>
      </c>
      <c r="D102" s="156" t="s">
        <v>194</v>
      </c>
      <c r="F102" s="35"/>
    </row>
    <row r="103" spans="1:13" x14ac:dyDescent="0.3">
      <c r="A103" s="57" t="s">
        <v>29</v>
      </c>
      <c r="B103" s="73" t="s">
        <v>151</v>
      </c>
      <c r="C103" s="74" t="s">
        <v>219</v>
      </c>
      <c r="D103" s="58" t="s">
        <v>195</v>
      </c>
      <c r="F103" s="35"/>
    </row>
    <row r="104" spans="1:13" x14ac:dyDescent="0.3">
      <c r="A104" s="57" t="s">
        <v>31</v>
      </c>
      <c r="B104" s="73" t="s">
        <v>152</v>
      </c>
      <c r="C104" s="74" t="s">
        <v>220</v>
      </c>
      <c r="D104" s="58" t="s">
        <v>314</v>
      </c>
      <c r="F104" s="35"/>
    </row>
    <row r="105" spans="1:13" x14ac:dyDescent="0.3">
      <c r="A105" s="57" t="s">
        <v>33</v>
      </c>
      <c r="B105" s="73" t="s">
        <v>153</v>
      </c>
      <c r="C105" s="74" t="s">
        <v>217</v>
      </c>
      <c r="D105" s="58" t="s">
        <v>196</v>
      </c>
      <c r="F105" s="35"/>
    </row>
    <row r="106" spans="1:13" x14ac:dyDescent="0.3">
      <c r="A106" s="57" t="s">
        <v>35</v>
      </c>
      <c r="B106" s="73" t="s">
        <v>154</v>
      </c>
      <c r="C106" s="74" t="s">
        <v>212</v>
      </c>
      <c r="D106" s="58" t="s">
        <v>197</v>
      </c>
      <c r="F106" s="35"/>
    </row>
    <row r="107" spans="1:13" x14ac:dyDescent="0.3">
      <c r="A107" s="57" t="s">
        <v>28</v>
      </c>
      <c r="B107" s="73" t="s">
        <v>157</v>
      </c>
      <c r="C107" s="74" t="s">
        <v>222</v>
      </c>
      <c r="D107" s="58" t="s">
        <v>198</v>
      </c>
      <c r="F107" s="35"/>
    </row>
    <row r="108" spans="1:13" x14ac:dyDescent="0.3">
      <c r="A108" s="57" t="s">
        <v>38</v>
      </c>
      <c r="B108" s="73" t="s">
        <v>155</v>
      </c>
      <c r="C108" s="74" t="s">
        <v>211</v>
      </c>
      <c r="D108" s="58" t="s">
        <v>198</v>
      </c>
      <c r="F108" s="35"/>
    </row>
    <row r="109" spans="1:13" x14ac:dyDescent="0.3">
      <c r="A109" s="57" t="s">
        <v>23</v>
      </c>
      <c r="B109" s="73" t="s">
        <v>156</v>
      </c>
      <c r="C109" s="74" t="s">
        <v>201</v>
      </c>
      <c r="D109" s="58" t="s">
        <v>195</v>
      </c>
      <c r="F109" s="35"/>
    </row>
    <row r="110" spans="1:13" x14ac:dyDescent="0.3">
      <c r="A110" s="57" t="s">
        <v>32</v>
      </c>
      <c r="B110" s="73" t="s">
        <v>158</v>
      </c>
      <c r="C110" s="74" t="s">
        <v>223</v>
      </c>
      <c r="D110" s="58" t="s">
        <v>197</v>
      </c>
      <c r="F110" s="35"/>
    </row>
    <row r="111" spans="1:13" x14ac:dyDescent="0.3">
      <c r="A111" s="57" t="s">
        <v>40</v>
      </c>
      <c r="B111" s="73" t="s">
        <v>159</v>
      </c>
      <c r="C111" s="74" t="s">
        <v>224</v>
      </c>
      <c r="D111" s="58" t="s">
        <v>198</v>
      </c>
      <c r="F111" s="35"/>
    </row>
    <row r="112" spans="1:13" ht="15" thickBot="1" x14ac:dyDescent="0.35">
      <c r="A112" s="59" t="s">
        <v>41</v>
      </c>
      <c r="B112" s="75" t="s">
        <v>160</v>
      </c>
      <c r="C112" s="76" t="s">
        <v>225</v>
      </c>
      <c r="D112" s="77" t="s">
        <v>206</v>
      </c>
      <c r="F112" s="35"/>
    </row>
    <row r="113" spans="1:6" x14ac:dyDescent="0.3">
      <c r="A113" s="35"/>
      <c r="B113"/>
      <c r="C113" s="35"/>
      <c r="E113"/>
      <c r="F113" s="35"/>
    </row>
  </sheetData>
  <mergeCells count="1">
    <mergeCell ref="W24:Y27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6E8A-2698-4AB4-A953-EEF7C22C819D}">
  <dimension ref="A1:AB223"/>
  <sheetViews>
    <sheetView topLeftCell="A40" zoomScale="80" zoomScaleNormal="80" workbookViewId="0">
      <selection activeCell="D81" sqref="D81"/>
    </sheetView>
  </sheetViews>
  <sheetFormatPr baseColWidth="10" defaultRowHeight="14.4" x14ac:dyDescent="0.3"/>
  <cols>
    <col min="1" max="1" width="28.6640625" customWidth="1"/>
    <col min="2" max="2" width="23.44140625" bestFit="1" customWidth="1"/>
    <col min="3" max="3" width="28.33203125" customWidth="1"/>
    <col min="4" max="4" width="23.88671875" bestFit="1" customWidth="1"/>
    <col min="5" max="5" width="23.88671875" customWidth="1"/>
    <col min="6" max="6" width="18" customWidth="1"/>
    <col min="7" max="7" width="28.6640625" customWidth="1"/>
    <col min="8" max="8" width="23.109375" bestFit="1" customWidth="1"/>
    <col min="9" max="9" width="20.5546875" bestFit="1" customWidth="1"/>
    <col min="10" max="10" width="20.5546875" customWidth="1"/>
    <col min="11" max="11" width="27.109375" customWidth="1"/>
    <col min="12" max="12" width="20.5546875" bestFit="1" customWidth="1"/>
    <col min="13" max="13" width="26" bestFit="1" customWidth="1"/>
    <col min="14" max="14" width="21.44140625" customWidth="1"/>
  </cols>
  <sheetData>
    <row r="1" spans="1:20" s="9" customFormat="1" ht="15" thickBot="1" x14ac:dyDescent="0.35">
      <c r="A1" s="54" t="s">
        <v>226</v>
      </c>
      <c r="B1" s="54"/>
      <c r="C1" s="54"/>
      <c r="D1" s="54"/>
      <c r="E1" s="54"/>
      <c r="F1" s="54"/>
      <c r="G1" s="54"/>
      <c r="H1" s="54"/>
      <c r="I1" s="33"/>
      <c r="J1" s="33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s="9" customFormat="1" ht="15" thickBot="1" x14ac:dyDescent="0.35">
      <c r="A2" s="10" t="s">
        <v>10</v>
      </c>
      <c r="B2" s="10"/>
      <c r="C2" s="11" t="s">
        <v>11</v>
      </c>
      <c r="D2" s="11" t="s">
        <v>12</v>
      </c>
      <c r="E2" s="34"/>
      <c r="F2" s="34"/>
      <c r="G2" s="34"/>
      <c r="S2" s="37"/>
      <c r="T2" s="37"/>
    </row>
    <row r="3" spans="1:20" s="9" customFormat="1" x14ac:dyDescent="0.3">
      <c r="A3" s="12">
        <v>1</v>
      </c>
      <c r="B3" s="12"/>
      <c r="C3" s="13">
        <v>1</v>
      </c>
      <c r="D3" s="13"/>
      <c r="E3" s="34"/>
      <c r="F3" s="34"/>
      <c r="G3" s="34"/>
      <c r="S3" s="37"/>
      <c r="T3" s="37"/>
    </row>
    <row r="4" spans="1:20" s="9" customFormat="1" x14ac:dyDescent="0.3">
      <c r="A4" s="29"/>
      <c r="B4" s="29"/>
      <c r="C4" s="127"/>
      <c r="D4" s="127"/>
      <c r="E4" s="34"/>
      <c r="F4" s="34"/>
      <c r="G4" s="34"/>
      <c r="S4" s="37"/>
      <c r="T4" s="37"/>
    </row>
    <row r="5" spans="1:20" s="9" customFormat="1" ht="15" thickBot="1" x14ac:dyDescent="0.35">
      <c r="A5" s="29"/>
      <c r="B5" s="29"/>
      <c r="C5" s="127"/>
      <c r="D5" s="127"/>
      <c r="E5" s="34"/>
      <c r="F5" s="34"/>
      <c r="G5" s="34"/>
      <c r="S5" s="37"/>
      <c r="T5" s="37"/>
    </row>
    <row r="6" spans="1:20" s="9" customFormat="1" ht="15.75" customHeight="1" thickBot="1" x14ac:dyDescent="0.35">
      <c r="A6" s="442" t="s">
        <v>350</v>
      </c>
      <c r="B6" s="443"/>
      <c r="C6" s="443"/>
      <c r="D6" s="444"/>
      <c r="E6" s="34"/>
      <c r="F6" s="34"/>
      <c r="G6" s="34"/>
      <c r="S6" s="37"/>
      <c r="T6" s="37"/>
    </row>
    <row r="7" spans="1:20" s="9" customFormat="1" ht="15" thickBot="1" x14ac:dyDescent="0.35">
      <c r="A7" s="10" t="s">
        <v>315</v>
      </c>
      <c r="B7" s="10" t="s">
        <v>242</v>
      </c>
      <c r="C7" s="11" t="s">
        <v>243</v>
      </c>
      <c r="D7" s="11" t="s">
        <v>339</v>
      </c>
      <c r="E7" s="34"/>
      <c r="F7" s="34"/>
      <c r="G7" s="34"/>
      <c r="S7" s="37"/>
      <c r="T7" s="37"/>
    </row>
    <row r="8" spans="1:20" s="9" customFormat="1" x14ac:dyDescent="0.3">
      <c r="A8" s="12">
        <f>GUIALOG!$P$55</f>
        <v>123590</v>
      </c>
      <c r="B8" s="12">
        <f>GUIALOG!$P$88</f>
        <v>3</v>
      </c>
      <c r="C8" s="12" t="str">
        <f>GUIALOG!$P$89</f>
        <v>Embalaje URe</v>
      </c>
      <c r="D8" s="13" t="str">
        <f>GUIALOG!S88</f>
        <v>FTL 53´</v>
      </c>
      <c r="E8" s="34"/>
      <c r="F8" s="34"/>
      <c r="G8" s="34"/>
      <c r="S8" s="37"/>
      <c r="T8" s="37"/>
    </row>
    <row r="9" spans="1:20" s="9" customFormat="1" x14ac:dyDescent="0.3">
      <c r="A9" s="29"/>
      <c r="B9" s="29"/>
      <c r="C9" s="127"/>
      <c r="D9" s="127"/>
      <c r="E9" s="34"/>
      <c r="F9" s="34"/>
      <c r="G9" s="34"/>
      <c r="S9" s="37"/>
      <c r="T9" s="37"/>
    </row>
    <row r="10" spans="1:20" s="9" customFormat="1" ht="15" thickBot="1" x14ac:dyDescent="0.35">
      <c r="A10" s="29"/>
      <c r="B10" s="29"/>
      <c r="C10" s="127"/>
      <c r="D10" s="127"/>
      <c r="E10" s="34"/>
      <c r="F10" s="34"/>
      <c r="G10" s="34"/>
      <c r="S10" s="37"/>
      <c r="T10" s="37"/>
    </row>
    <row r="11" spans="1:20" s="9" customFormat="1" ht="15" thickBot="1" x14ac:dyDescent="0.35">
      <c r="A11" s="283" t="s">
        <v>349</v>
      </c>
      <c r="B11" s="29"/>
      <c r="C11" s="127"/>
      <c r="D11" s="127"/>
      <c r="E11" s="34"/>
      <c r="F11" s="34"/>
      <c r="G11" s="34"/>
      <c r="S11" s="37"/>
      <c r="T11" s="37"/>
    </row>
    <row r="12" spans="1:20" s="9" customFormat="1" x14ac:dyDescent="0.3">
      <c r="A12" s="28" t="s">
        <v>293</v>
      </c>
      <c r="B12" s="29"/>
      <c r="C12" s="127"/>
      <c r="D12" s="127"/>
      <c r="E12" s="34"/>
      <c r="F12" s="34"/>
      <c r="G12" s="34"/>
      <c r="S12" s="37"/>
      <c r="T12" s="37"/>
    </row>
    <row r="13" spans="1:20" s="9" customFormat="1" x14ac:dyDescent="0.3">
      <c r="A13" s="15" t="s">
        <v>292</v>
      </c>
      <c r="B13" s="29"/>
      <c r="C13" s="127"/>
      <c r="D13" s="127"/>
      <c r="E13" s="34"/>
      <c r="F13" s="34"/>
      <c r="G13" s="34"/>
      <c r="S13" s="37"/>
      <c r="T13" s="37"/>
    </row>
    <row r="14" spans="1:20" s="9" customFormat="1" x14ac:dyDescent="0.3">
      <c r="A14" s="15" t="s">
        <v>294</v>
      </c>
      <c r="B14" s="29"/>
      <c r="C14" s="127"/>
      <c r="D14" s="127"/>
      <c r="E14" s="34"/>
      <c r="F14" s="34"/>
      <c r="G14" s="34"/>
      <c r="S14" s="37"/>
      <c r="T14" s="37"/>
    </row>
    <row r="15" spans="1:20" s="9" customFormat="1" x14ac:dyDescent="0.3">
      <c r="A15" s="15" t="s">
        <v>249</v>
      </c>
      <c r="B15" s="29"/>
      <c r="C15" s="127"/>
      <c r="D15" s="127"/>
      <c r="E15" s="34"/>
      <c r="F15" s="34"/>
      <c r="G15" s="34"/>
      <c r="S15" s="37"/>
      <c r="T15" s="37"/>
    </row>
    <row r="16" spans="1:20" s="9" customFormat="1" x14ac:dyDescent="0.3">
      <c r="B16" s="29"/>
      <c r="C16" s="127"/>
      <c r="D16" s="127"/>
      <c r="E16" s="34"/>
      <c r="F16" s="34"/>
      <c r="G16" s="34"/>
      <c r="S16" s="37"/>
      <c r="T16" s="37"/>
    </row>
    <row r="17" spans="1:28" s="9" customFormat="1" ht="15" thickBot="1" x14ac:dyDescent="0.35">
      <c r="A17" s="29"/>
      <c r="B17" s="29"/>
      <c r="C17" s="127"/>
      <c r="D17" s="127"/>
      <c r="E17" s="34"/>
      <c r="F17" s="34"/>
      <c r="G17" s="34"/>
      <c r="S17" s="37"/>
      <c r="T17" s="37"/>
    </row>
    <row r="18" spans="1:28" s="9" customFormat="1" ht="15.75" customHeight="1" thickBot="1" x14ac:dyDescent="0.35">
      <c r="A18" s="18" t="s">
        <v>13</v>
      </c>
      <c r="B18" s="14" t="s">
        <v>164</v>
      </c>
      <c r="C18" s="14" t="s">
        <v>15</v>
      </c>
      <c r="D18" s="14" t="s">
        <v>150</v>
      </c>
      <c r="E18" s="14" t="s">
        <v>14</v>
      </c>
      <c r="F18" s="14" t="s">
        <v>205</v>
      </c>
      <c r="G18" s="14" t="s">
        <v>164</v>
      </c>
      <c r="H18" s="34"/>
      <c r="AA18"/>
      <c r="AB18" s="35"/>
    </row>
    <row r="19" spans="1:28" s="9" customFormat="1" ht="15.75" customHeight="1" x14ac:dyDescent="0.3">
      <c r="A19" s="25" t="s">
        <v>21</v>
      </c>
      <c r="B19" s="38">
        <v>1</v>
      </c>
      <c r="C19" s="31" t="s">
        <v>16</v>
      </c>
      <c r="D19" s="40">
        <v>0.01</v>
      </c>
      <c r="E19" s="43" t="s">
        <v>29</v>
      </c>
      <c r="F19" s="41" t="s">
        <v>22</v>
      </c>
      <c r="G19" s="42" t="s">
        <v>0</v>
      </c>
      <c r="H19" s="34"/>
      <c r="AA19"/>
      <c r="AB19" s="35"/>
    </row>
    <row r="20" spans="1:28" s="9" customFormat="1" ht="15" customHeight="1" x14ac:dyDescent="0.3">
      <c r="A20" s="15" t="s">
        <v>380</v>
      </c>
      <c r="B20" s="38">
        <v>1</v>
      </c>
      <c r="C20" s="26" t="s">
        <v>17</v>
      </c>
      <c r="D20" s="40">
        <v>0.02</v>
      </c>
      <c r="E20" s="43" t="s">
        <v>31</v>
      </c>
      <c r="F20" s="43" t="s">
        <v>24</v>
      </c>
      <c r="G20" s="44" t="s">
        <v>161</v>
      </c>
      <c r="H20" s="34"/>
      <c r="AA20"/>
      <c r="AB20" s="35"/>
    </row>
    <row r="21" spans="1:28" s="9" customFormat="1" ht="15" customHeight="1" x14ac:dyDescent="0.3">
      <c r="A21" s="26" t="s">
        <v>25</v>
      </c>
      <c r="B21" s="38">
        <v>2</v>
      </c>
      <c r="C21" s="26" t="s">
        <v>18</v>
      </c>
      <c r="D21" s="40">
        <v>0.03</v>
      </c>
      <c r="E21" s="43" t="s">
        <v>33</v>
      </c>
      <c r="F21" s="43" t="s">
        <v>26</v>
      </c>
      <c r="G21" s="44" t="s">
        <v>162</v>
      </c>
      <c r="H21" s="34"/>
      <c r="AA21"/>
      <c r="AB21" s="35"/>
    </row>
    <row r="22" spans="1:28" s="9" customFormat="1" ht="15" customHeight="1" x14ac:dyDescent="0.3">
      <c r="A22" s="26" t="s">
        <v>27</v>
      </c>
      <c r="B22" s="38">
        <v>2</v>
      </c>
      <c r="C22" s="26" t="s">
        <v>19</v>
      </c>
      <c r="D22" s="40">
        <v>0.04</v>
      </c>
      <c r="E22" s="43" t="s">
        <v>35</v>
      </c>
      <c r="F22" s="45" t="s">
        <v>22</v>
      </c>
      <c r="G22" s="46"/>
      <c r="H22" s="34"/>
      <c r="AA22"/>
      <c r="AB22" s="35"/>
    </row>
    <row r="23" spans="1:28" s="9" customFormat="1" ht="15" customHeight="1" x14ac:dyDescent="0.3">
      <c r="A23" s="26" t="s">
        <v>28</v>
      </c>
      <c r="B23" s="38">
        <v>2</v>
      </c>
      <c r="C23" s="26" t="s">
        <v>20</v>
      </c>
      <c r="D23" s="36">
        <v>0.05</v>
      </c>
      <c r="E23" s="43" t="s">
        <v>28</v>
      </c>
      <c r="F23" s="43" t="s">
        <v>29</v>
      </c>
      <c r="G23" s="44" t="s">
        <v>151</v>
      </c>
      <c r="H23" s="34"/>
      <c r="AA23"/>
      <c r="AB23" s="35"/>
    </row>
    <row r="24" spans="1:28" s="9" customFormat="1" ht="15" customHeight="1" x14ac:dyDescent="0.3">
      <c r="A24" s="26" t="s">
        <v>30</v>
      </c>
      <c r="B24" s="38">
        <v>2</v>
      </c>
      <c r="C24" s="26" t="s">
        <v>165</v>
      </c>
      <c r="D24" s="36">
        <v>0.06</v>
      </c>
      <c r="E24" s="43" t="s">
        <v>38</v>
      </c>
      <c r="F24" s="43" t="s">
        <v>31</v>
      </c>
      <c r="G24" s="44" t="s">
        <v>152</v>
      </c>
      <c r="H24" s="34"/>
      <c r="AA24"/>
      <c r="AB24" s="35"/>
    </row>
    <row r="25" spans="1:28" s="9" customFormat="1" ht="15" customHeight="1" x14ac:dyDescent="0.3">
      <c r="A25" s="26" t="s">
        <v>34</v>
      </c>
      <c r="B25" s="38">
        <v>3</v>
      </c>
      <c r="C25" s="26" t="s">
        <v>204</v>
      </c>
      <c r="D25" s="36">
        <v>7.0000000000000007E-2</v>
      </c>
      <c r="E25" s="43" t="s">
        <v>23</v>
      </c>
      <c r="F25" s="43" t="s">
        <v>33</v>
      </c>
      <c r="G25" s="44" t="s">
        <v>153</v>
      </c>
      <c r="H25" s="34"/>
      <c r="AA25"/>
      <c r="AB25" s="35"/>
    </row>
    <row r="26" spans="1:28" s="9" customFormat="1" ht="15" customHeight="1" x14ac:dyDescent="0.3">
      <c r="A26" s="26" t="s">
        <v>33</v>
      </c>
      <c r="B26" s="38">
        <v>4</v>
      </c>
      <c r="C26" s="26"/>
      <c r="D26" s="36">
        <v>0.08</v>
      </c>
      <c r="E26" s="43" t="s">
        <v>32</v>
      </c>
      <c r="F26" s="43" t="s">
        <v>35</v>
      </c>
      <c r="G26" s="44" t="s">
        <v>154</v>
      </c>
      <c r="H26" s="34"/>
      <c r="AA26"/>
      <c r="AB26" s="35"/>
    </row>
    <row r="27" spans="1:28" s="9" customFormat="1" ht="15.75" customHeight="1" x14ac:dyDescent="0.3">
      <c r="A27" s="26" t="s">
        <v>37</v>
      </c>
      <c r="B27" s="38">
        <v>4</v>
      </c>
      <c r="C27" s="26"/>
      <c r="D27" s="36">
        <v>0.09</v>
      </c>
      <c r="E27" s="43" t="s">
        <v>40</v>
      </c>
      <c r="F27" s="45" t="s">
        <v>24</v>
      </c>
      <c r="G27" s="46"/>
      <c r="H27" s="34"/>
      <c r="AA27"/>
      <c r="AB27" s="35"/>
    </row>
    <row r="28" spans="1:28" s="9" customFormat="1" ht="15.75" customHeight="1" thickBot="1" x14ac:dyDescent="0.35">
      <c r="A28" s="26" t="s">
        <v>36</v>
      </c>
      <c r="B28" s="38">
        <v>5</v>
      </c>
      <c r="C28" s="26"/>
      <c r="D28" s="40">
        <v>0.1</v>
      </c>
      <c r="E28" s="47" t="s">
        <v>41</v>
      </c>
      <c r="F28" s="43" t="s">
        <v>28</v>
      </c>
      <c r="G28" s="44" t="s">
        <v>157</v>
      </c>
      <c r="H28" s="34"/>
      <c r="AA28"/>
      <c r="AB28" s="35"/>
    </row>
    <row r="29" spans="1:28" s="9" customFormat="1" ht="15.75" customHeight="1" x14ac:dyDescent="0.3">
      <c r="A29" s="26" t="s">
        <v>32</v>
      </c>
      <c r="B29" s="38">
        <v>5</v>
      </c>
      <c r="C29" s="26"/>
      <c r="D29" s="36">
        <v>0.11</v>
      </c>
      <c r="E29" s="85"/>
      <c r="F29" s="43" t="s">
        <v>38</v>
      </c>
      <c r="G29" s="44" t="s">
        <v>155</v>
      </c>
      <c r="H29" s="34"/>
      <c r="AA29"/>
      <c r="AB29" s="35"/>
    </row>
    <row r="30" spans="1:28" s="9" customFormat="1" ht="15" thickBot="1" x14ac:dyDescent="0.35">
      <c r="A30" s="27"/>
      <c r="B30" s="38"/>
      <c r="C30" s="27"/>
      <c r="D30" s="36">
        <v>0.12</v>
      </c>
      <c r="E30" s="85"/>
      <c r="F30" s="43" t="s">
        <v>23</v>
      </c>
      <c r="G30" s="44" t="s">
        <v>156</v>
      </c>
      <c r="H30" s="34"/>
    </row>
    <row r="31" spans="1:28" s="9" customFormat="1" x14ac:dyDescent="0.3">
      <c r="A31" s="30"/>
      <c r="B31" s="32"/>
      <c r="C31" s="20"/>
      <c r="D31" s="36"/>
      <c r="E31" s="85"/>
      <c r="F31" s="43" t="s">
        <v>32</v>
      </c>
      <c r="G31" s="44" t="s">
        <v>158</v>
      </c>
      <c r="H31" s="34"/>
    </row>
    <row r="32" spans="1:28" s="9" customFormat="1" ht="15.75" customHeight="1" x14ac:dyDescent="0.3">
      <c r="A32" s="32"/>
      <c r="B32" s="32"/>
      <c r="C32" s="16"/>
      <c r="D32" s="36"/>
      <c r="E32" s="85"/>
      <c r="F32" s="45" t="s">
        <v>26</v>
      </c>
      <c r="G32" s="46"/>
      <c r="H32" s="34"/>
    </row>
    <row r="33" spans="1:10" s="9" customFormat="1" x14ac:dyDescent="0.3">
      <c r="A33" s="16"/>
      <c r="B33" s="32"/>
      <c r="C33" s="16"/>
      <c r="D33" s="36"/>
      <c r="E33" s="85"/>
      <c r="F33" s="43" t="s">
        <v>40</v>
      </c>
      <c r="G33" s="44" t="s">
        <v>159</v>
      </c>
      <c r="H33" s="34"/>
    </row>
    <row r="34" spans="1:10" s="9" customFormat="1" ht="15" thickBot="1" x14ac:dyDescent="0.35">
      <c r="A34" s="16"/>
      <c r="B34" s="32"/>
      <c r="C34" s="16"/>
      <c r="D34" s="36"/>
      <c r="E34" s="85"/>
      <c r="F34" s="47" t="s">
        <v>41</v>
      </c>
      <c r="G34" s="48" t="s">
        <v>160</v>
      </c>
      <c r="H34" s="34"/>
    </row>
    <row r="35" spans="1:10" s="9" customFormat="1" x14ac:dyDescent="0.3">
      <c r="A35" s="16"/>
      <c r="B35" s="32"/>
      <c r="C35" s="16"/>
      <c r="D35" s="32"/>
      <c r="E35" s="85"/>
      <c r="F35" s="28"/>
      <c r="G35" s="28"/>
      <c r="H35" s="34"/>
    </row>
    <row r="36" spans="1:10" s="9" customFormat="1" x14ac:dyDescent="0.3">
      <c r="A36" s="16"/>
      <c r="B36" s="32"/>
      <c r="C36" s="16"/>
      <c r="D36" s="32"/>
      <c r="E36" s="85"/>
      <c r="F36" s="28"/>
      <c r="G36" s="28"/>
      <c r="H36" s="34"/>
    </row>
    <row r="37" spans="1:10" s="9" customFormat="1" x14ac:dyDescent="0.3">
      <c r="A37" s="20"/>
      <c r="B37" s="32"/>
      <c r="C37" s="16"/>
      <c r="D37" s="32"/>
      <c r="E37" s="85"/>
      <c r="F37" s="28"/>
      <c r="G37" s="28"/>
      <c r="H37" s="34"/>
    </row>
    <row r="38" spans="1:10" s="9" customFormat="1" x14ac:dyDescent="0.3">
      <c r="A38" s="20"/>
      <c r="B38" s="32"/>
      <c r="C38" s="16"/>
      <c r="D38" s="32"/>
      <c r="E38" s="85"/>
      <c r="F38" s="28"/>
      <c r="G38" s="28"/>
      <c r="H38" s="34"/>
    </row>
    <row r="39" spans="1:10" s="9" customFormat="1" x14ac:dyDescent="0.3">
      <c r="A39" s="136"/>
      <c r="B39" s="266"/>
      <c r="C39" s="136"/>
      <c r="D39" s="266"/>
      <c r="E39" s="266"/>
      <c r="F39" s="267"/>
      <c r="G39" s="267"/>
      <c r="H39" s="34"/>
    </row>
    <row r="40" spans="1:10" s="9" customFormat="1" x14ac:dyDescent="0.3">
      <c r="A40" s="136"/>
      <c r="B40" s="266"/>
      <c r="C40" s="136"/>
      <c r="D40" s="266"/>
      <c r="E40" s="266"/>
      <c r="F40" s="267"/>
      <c r="G40" s="267"/>
      <c r="H40" s="34"/>
    </row>
    <row r="41" spans="1:10" x14ac:dyDescent="0.3">
      <c r="F41" s="34"/>
      <c r="G41" s="34"/>
      <c r="H41" s="34"/>
    </row>
    <row r="42" spans="1:10" hidden="1" x14ac:dyDescent="0.3">
      <c r="F42" s="34"/>
      <c r="G42" s="34"/>
      <c r="H42" s="34"/>
    </row>
    <row r="43" spans="1:10" hidden="1" x14ac:dyDescent="0.3">
      <c r="A43" s="445" t="s">
        <v>290</v>
      </c>
      <c r="B43" s="445"/>
      <c r="C43" s="445"/>
      <c r="D43" s="445"/>
      <c r="F43" s="445" t="s">
        <v>291</v>
      </c>
      <c r="G43" s="445"/>
      <c r="H43" s="445"/>
      <c r="I43" s="445"/>
      <c r="J43" s="34"/>
    </row>
    <row r="44" spans="1:10" hidden="1" x14ac:dyDescent="0.3">
      <c r="A44" s="128" t="s">
        <v>5</v>
      </c>
      <c r="B44" s="128" t="s">
        <v>256</v>
      </c>
      <c r="C44" s="128" t="s">
        <v>244</v>
      </c>
      <c r="D44" s="128" t="s">
        <v>248</v>
      </c>
      <c r="F44" s="128" t="s">
        <v>5</v>
      </c>
      <c r="G44" s="128" t="s">
        <v>256</v>
      </c>
      <c r="H44" s="128" t="s">
        <v>244</v>
      </c>
      <c r="I44" s="128" t="s">
        <v>249</v>
      </c>
      <c r="J44" s="34"/>
    </row>
    <row r="45" spans="1:10" hidden="1" x14ac:dyDescent="0.3">
      <c r="A45" s="16" t="s">
        <v>29</v>
      </c>
      <c r="B45" s="15" t="s">
        <v>21</v>
      </c>
      <c r="C45" s="1" t="str">
        <f>CONCATENATE(A45,B45,)</f>
        <v>El PasoChihuahua</v>
      </c>
      <c r="D45" s="17"/>
      <c r="F45" s="16" t="s">
        <v>29</v>
      </c>
      <c r="G45" s="15" t="s">
        <v>21</v>
      </c>
      <c r="H45" s="1" t="str">
        <f>CONCATENATE(F45,G45,)</f>
        <v>El PasoChihuahua</v>
      </c>
      <c r="I45" s="17">
        <f>2*4</f>
        <v>8</v>
      </c>
      <c r="J45" s="34"/>
    </row>
    <row r="46" spans="1:10" hidden="1" x14ac:dyDescent="0.3">
      <c r="A46" s="16" t="s">
        <v>29</v>
      </c>
      <c r="B46" s="15" t="s">
        <v>380</v>
      </c>
      <c r="C46" s="1" t="str">
        <f t="shared" ref="C46:C70" si="0">CONCATENATE(A46,B46,)</f>
        <v>El PasoJuarez</v>
      </c>
      <c r="D46" s="17"/>
      <c r="F46" s="16" t="s">
        <v>29</v>
      </c>
      <c r="G46" s="15" t="s">
        <v>380</v>
      </c>
      <c r="H46" s="1" t="str">
        <f t="shared" ref="H46:H70" si="1">CONCATENATE(F46,G46,)</f>
        <v>El PasoJuarez</v>
      </c>
      <c r="I46" s="17">
        <v>15</v>
      </c>
      <c r="J46" s="34"/>
    </row>
    <row r="47" spans="1:10" hidden="1" x14ac:dyDescent="0.3">
      <c r="A47" s="16" t="s">
        <v>29</v>
      </c>
      <c r="B47" s="15" t="s">
        <v>34</v>
      </c>
      <c r="C47" s="1" t="str">
        <f t="shared" si="0"/>
        <v>El PasoPuebla</v>
      </c>
      <c r="D47" s="17"/>
      <c r="F47" s="16" t="s">
        <v>29</v>
      </c>
      <c r="G47" s="15" t="s">
        <v>34</v>
      </c>
      <c r="H47" s="1" t="str">
        <f t="shared" si="1"/>
        <v>El PasoPuebla</v>
      </c>
      <c r="I47" s="17">
        <v>135</v>
      </c>
      <c r="J47" s="34"/>
    </row>
    <row r="48" spans="1:10" hidden="1" x14ac:dyDescent="0.3">
      <c r="A48" s="16" t="s">
        <v>29</v>
      </c>
      <c r="B48" s="15" t="s">
        <v>33</v>
      </c>
      <c r="C48" s="1" t="str">
        <f t="shared" si="0"/>
        <v>El PasoNogales</v>
      </c>
      <c r="D48" s="17"/>
      <c r="F48" s="16" t="s">
        <v>29</v>
      </c>
      <c r="G48" s="15" t="s">
        <v>33</v>
      </c>
      <c r="H48" s="1" t="str">
        <f t="shared" si="1"/>
        <v>El PasoNogales</v>
      </c>
      <c r="I48" s="17">
        <v>4741</v>
      </c>
      <c r="J48" s="34"/>
    </row>
    <row r="49" spans="1:10" hidden="1" x14ac:dyDescent="0.3">
      <c r="A49" s="16" t="s">
        <v>29</v>
      </c>
      <c r="B49" s="15" t="s">
        <v>37</v>
      </c>
      <c r="C49" s="1" t="str">
        <f t="shared" si="0"/>
        <v>El PasoHermosillo</v>
      </c>
      <c r="D49" s="17"/>
      <c r="F49" s="16" t="s">
        <v>29</v>
      </c>
      <c r="G49" s="15" t="s">
        <v>37</v>
      </c>
      <c r="H49" s="1" t="str">
        <f t="shared" si="1"/>
        <v>El PasoHermosillo</v>
      </c>
      <c r="I49" s="17">
        <v>4</v>
      </c>
      <c r="J49" s="34"/>
    </row>
    <row r="50" spans="1:10" hidden="1" x14ac:dyDescent="0.3">
      <c r="A50" s="16" t="s">
        <v>31</v>
      </c>
      <c r="B50" s="15" t="s">
        <v>25</v>
      </c>
      <c r="C50" s="1" t="str">
        <f t="shared" si="0"/>
        <v>LaredoSaltillo</v>
      </c>
      <c r="D50" s="17"/>
      <c r="F50" s="16" t="s">
        <v>31</v>
      </c>
      <c r="G50" s="15" t="s">
        <v>25</v>
      </c>
      <c r="H50" s="1" t="str">
        <f t="shared" si="1"/>
        <v>LaredoSaltillo</v>
      </c>
      <c r="I50" s="17">
        <v>158</v>
      </c>
      <c r="J50" s="34"/>
    </row>
    <row r="51" spans="1:10" hidden="1" x14ac:dyDescent="0.3">
      <c r="A51" s="16" t="s">
        <v>31</v>
      </c>
      <c r="B51" s="15" t="s">
        <v>27</v>
      </c>
      <c r="C51" s="1" t="str">
        <f t="shared" si="0"/>
        <v xml:space="preserve">LaredoTorreon </v>
      </c>
      <c r="D51" s="17"/>
      <c r="F51" s="16" t="s">
        <v>31</v>
      </c>
      <c r="G51" s="15" t="s">
        <v>27</v>
      </c>
      <c r="H51" s="1" t="str">
        <f t="shared" si="1"/>
        <v xml:space="preserve">LaredoTorreon </v>
      </c>
      <c r="I51" s="17">
        <v>164</v>
      </c>
      <c r="J51" s="34"/>
    </row>
    <row r="52" spans="1:10" hidden="1" x14ac:dyDescent="0.3">
      <c r="A52" s="16" t="s">
        <v>31</v>
      </c>
      <c r="B52" s="15" t="s">
        <v>28</v>
      </c>
      <c r="C52" s="1" t="str">
        <f t="shared" si="0"/>
        <v>LaredoMonterrey</v>
      </c>
      <c r="D52" s="17"/>
      <c r="F52" s="16" t="s">
        <v>31</v>
      </c>
      <c r="G52" s="15" t="s">
        <v>28</v>
      </c>
      <c r="H52" s="1" t="str">
        <f t="shared" si="1"/>
        <v>LaredoMonterrey</v>
      </c>
      <c r="I52" s="17">
        <v>46487</v>
      </c>
      <c r="J52" s="34"/>
    </row>
    <row r="53" spans="1:10" hidden="1" x14ac:dyDescent="0.3">
      <c r="A53" s="16" t="s">
        <v>31</v>
      </c>
      <c r="B53" s="15" t="s">
        <v>30</v>
      </c>
      <c r="C53" s="1" t="str">
        <f t="shared" si="0"/>
        <v>LaredoCDMX</v>
      </c>
      <c r="D53" s="17"/>
      <c r="F53" s="16" t="s">
        <v>31</v>
      </c>
      <c r="G53" s="15" t="s">
        <v>30</v>
      </c>
      <c r="H53" s="1" t="str">
        <f t="shared" si="1"/>
        <v>LaredoCDMX</v>
      </c>
      <c r="I53" s="17">
        <v>77</v>
      </c>
      <c r="J53" s="34"/>
    </row>
    <row r="54" spans="1:10" hidden="1" x14ac:dyDescent="0.3">
      <c r="A54" s="16" t="s">
        <v>31</v>
      </c>
      <c r="B54" s="15" t="s">
        <v>34</v>
      </c>
      <c r="C54" s="1" t="str">
        <f t="shared" si="0"/>
        <v>LaredoPuebla</v>
      </c>
      <c r="D54" s="17"/>
      <c r="F54" s="16" t="s">
        <v>31</v>
      </c>
      <c r="G54" s="15" t="s">
        <v>34</v>
      </c>
      <c r="H54" s="1" t="str">
        <f t="shared" si="1"/>
        <v>LaredoPuebla</v>
      </c>
      <c r="I54" s="17">
        <v>999</v>
      </c>
      <c r="J54" s="34"/>
    </row>
    <row r="55" spans="1:10" hidden="1" x14ac:dyDescent="0.3">
      <c r="A55" s="16" t="s">
        <v>33</v>
      </c>
      <c r="B55" s="15" t="s">
        <v>33</v>
      </c>
      <c r="C55" s="1" t="str">
        <f t="shared" si="0"/>
        <v>NogalesNogales</v>
      </c>
      <c r="D55" s="17"/>
      <c r="F55" s="16" t="s">
        <v>33</v>
      </c>
      <c r="G55" s="15" t="s">
        <v>33</v>
      </c>
      <c r="H55" s="1" t="str">
        <f t="shared" si="1"/>
        <v>NogalesNogales</v>
      </c>
      <c r="I55" s="17">
        <v>7785</v>
      </c>
      <c r="J55" s="34"/>
    </row>
    <row r="56" spans="1:10" hidden="1" x14ac:dyDescent="0.3">
      <c r="A56" s="16" t="s">
        <v>33</v>
      </c>
      <c r="B56" s="15" t="s">
        <v>37</v>
      </c>
      <c r="C56" s="1" t="str">
        <f t="shared" si="0"/>
        <v>NogalesHermosillo</v>
      </c>
      <c r="D56" s="17"/>
      <c r="F56" s="16" t="s">
        <v>33</v>
      </c>
      <c r="G56" s="15" t="s">
        <v>37</v>
      </c>
      <c r="H56" s="1" t="str">
        <f t="shared" si="1"/>
        <v>NogalesHermosillo</v>
      </c>
      <c r="I56" s="17">
        <v>751</v>
      </c>
      <c r="J56" s="34"/>
    </row>
    <row r="57" spans="1:10" hidden="1" x14ac:dyDescent="0.3">
      <c r="A57" s="16" t="s">
        <v>33</v>
      </c>
      <c r="B57" s="15" t="s">
        <v>36</v>
      </c>
      <c r="C57" s="1" t="str">
        <f t="shared" si="0"/>
        <v>NogalesMexicali</v>
      </c>
      <c r="D57" s="17"/>
      <c r="F57" s="16" t="s">
        <v>33</v>
      </c>
      <c r="G57" s="15" t="s">
        <v>36</v>
      </c>
      <c r="H57" s="1" t="str">
        <f t="shared" si="1"/>
        <v>NogalesMexicali</v>
      </c>
      <c r="I57" s="17">
        <v>751</v>
      </c>
      <c r="J57" s="34"/>
    </row>
    <row r="58" spans="1:10" hidden="1" x14ac:dyDescent="0.3">
      <c r="A58" s="16" t="s">
        <v>35</v>
      </c>
      <c r="B58" s="15" t="s">
        <v>36</v>
      </c>
      <c r="C58" s="1" t="str">
        <f t="shared" si="0"/>
        <v>San DiegoMexicali</v>
      </c>
      <c r="D58" s="17"/>
      <c r="F58" s="16" t="s">
        <v>35</v>
      </c>
      <c r="G58" s="15" t="s">
        <v>36</v>
      </c>
      <c r="H58" s="1" t="str">
        <f t="shared" si="1"/>
        <v>San DiegoMexicali</v>
      </c>
      <c r="I58" s="17">
        <v>751</v>
      </c>
      <c r="J58" s="34"/>
    </row>
    <row r="59" spans="1:10" hidden="1" x14ac:dyDescent="0.3">
      <c r="A59" s="16" t="s">
        <v>35</v>
      </c>
      <c r="B59" s="15" t="s">
        <v>32</v>
      </c>
      <c r="C59" s="1" t="str">
        <f t="shared" si="0"/>
        <v>San DiegoTijuana</v>
      </c>
      <c r="D59" s="17"/>
      <c r="F59" s="16" t="s">
        <v>35</v>
      </c>
      <c r="G59" s="15" t="s">
        <v>32</v>
      </c>
      <c r="H59" s="1" t="str">
        <f t="shared" si="1"/>
        <v>San DiegoTijuana</v>
      </c>
      <c r="I59" s="17">
        <v>751</v>
      </c>
      <c r="J59" s="34"/>
    </row>
    <row r="60" spans="1:10" hidden="1" x14ac:dyDescent="0.3">
      <c r="A60" s="16" t="s">
        <v>28</v>
      </c>
      <c r="B60" s="15" t="s">
        <v>28</v>
      </c>
      <c r="C60" s="1" t="str">
        <f t="shared" si="0"/>
        <v>MonterreyMonterrey</v>
      </c>
      <c r="D60" s="17"/>
      <c r="F60" s="16" t="s">
        <v>28</v>
      </c>
      <c r="G60" s="15" t="s">
        <v>28</v>
      </c>
      <c r="H60" s="1" t="str">
        <f t="shared" si="1"/>
        <v>MonterreyMonterrey</v>
      </c>
      <c r="I60" s="17">
        <v>751</v>
      </c>
      <c r="J60" s="34"/>
    </row>
    <row r="61" spans="1:10" hidden="1" x14ac:dyDescent="0.3">
      <c r="A61" s="16" t="s">
        <v>28</v>
      </c>
      <c r="B61" s="15" t="s">
        <v>25</v>
      </c>
      <c r="C61" s="1" t="str">
        <f t="shared" si="0"/>
        <v>MonterreySaltillo</v>
      </c>
      <c r="D61" s="17"/>
      <c r="F61" s="16" t="s">
        <v>28</v>
      </c>
      <c r="G61" s="15" t="s">
        <v>25</v>
      </c>
      <c r="H61" s="1" t="str">
        <f t="shared" si="1"/>
        <v>MonterreySaltillo</v>
      </c>
      <c r="I61" s="17">
        <v>751</v>
      </c>
      <c r="J61" s="34"/>
    </row>
    <row r="62" spans="1:10" hidden="1" x14ac:dyDescent="0.3">
      <c r="A62" s="16" t="s">
        <v>38</v>
      </c>
      <c r="B62" s="15" t="s">
        <v>34</v>
      </c>
      <c r="C62" s="1" t="str">
        <f t="shared" si="0"/>
        <v>AICMPuebla</v>
      </c>
      <c r="D62" s="17"/>
      <c r="F62" s="16" t="s">
        <v>38</v>
      </c>
      <c r="G62" s="15" t="s">
        <v>34</v>
      </c>
      <c r="H62" s="1" t="str">
        <f t="shared" si="1"/>
        <v>AICMPuebla</v>
      </c>
      <c r="I62" s="17">
        <v>751</v>
      </c>
      <c r="J62" s="34"/>
    </row>
    <row r="63" spans="1:10" hidden="1" x14ac:dyDescent="0.3">
      <c r="A63" s="16" t="s">
        <v>23</v>
      </c>
      <c r="B63" s="15" t="s">
        <v>21</v>
      </c>
      <c r="C63" s="1" t="str">
        <f t="shared" si="0"/>
        <v>Cd. JuarezChihuahua</v>
      </c>
      <c r="D63" s="17"/>
      <c r="F63" s="16" t="s">
        <v>23</v>
      </c>
      <c r="G63" s="15" t="s">
        <v>21</v>
      </c>
      <c r="H63" s="1" t="str">
        <f t="shared" si="1"/>
        <v>Cd. JuarezChihuahua</v>
      </c>
      <c r="I63" s="17">
        <v>751</v>
      </c>
      <c r="J63" s="34"/>
    </row>
    <row r="64" spans="1:10" hidden="1" x14ac:dyDescent="0.3">
      <c r="A64" s="16" t="s">
        <v>23</v>
      </c>
      <c r="B64" s="15" t="s">
        <v>380</v>
      </c>
      <c r="C64" s="1" t="str">
        <f t="shared" si="0"/>
        <v>Cd. JuarezJuarez</v>
      </c>
      <c r="D64" s="17"/>
      <c r="F64" s="16" t="s">
        <v>23</v>
      </c>
      <c r="G64" s="15" t="s">
        <v>380</v>
      </c>
      <c r="H64" s="1" t="str">
        <f t="shared" si="1"/>
        <v>Cd. JuarezJuarez</v>
      </c>
      <c r="I64" s="17">
        <v>751</v>
      </c>
      <c r="J64" s="34"/>
    </row>
    <row r="65" spans="1:10" hidden="1" x14ac:dyDescent="0.3">
      <c r="A65" s="16" t="s">
        <v>23</v>
      </c>
      <c r="B65" s="15" t="s">
        <v>34</v>
      </c>
      <c r="C65" s="1" t="str">
        <f t="shared" si="0"/>
        <v>Cd. JuarezPuebla</v>
      </c>
      <c r="D65" s="17"/>
      <c r="F65" s="16" t="s">
        <v>23</v>
      </c>
      <c r="G65" s="15" t="s">
        <v>34</v>
      </c>
      <c r="H65" s="1" t="str">
        <f t="shared" si="1"/>
        <v>Cd. JuarezPuebla</v>
      </c>
      <c r="I65" s="17">
        <v>751</v>
      </c>
      <c r="J65" s="34"/>
    </row>
    <row r="66" spans="1:10" hidden="1" x14ac:dyDescent="0.3">
      <c r="A66" s="16" t="s">
        <v>23</v>
      </c>
      <c r="B66" s="15" t="s">
        <v>33</v>
      </c>
      <c r="C66" s="1" t="str">
        <f t="shared" si="0"/>
        <v>Cd. JuarezNogales</v>
      </c>
      <c r="D66" s="17"/>
      <c r="F66" s="16" t="s">
        <v>23</v>
      </c>
      <c r="G66" s="15" t="s">
        <v>33</v>
      </c>
      <c r="H66" s="1" t="str">
        <f t="shared" si="1"/>
        <v>Cd. JuarezNogales</v>
      </c>
      <c r="I66" s="17">
        <v>751</v>
      </c>
      <c r="J66" s="34"/>
    </row>
    <row r="67" spans="1:10" hidden="1" x14ac:dyDescent="0.3">
      <c r="A67" s="16" t="s">
        <v>32</v>
      </c>
      <c r="B67" s="15" t="s">
        <v>32</v>
      </c>
      <c r="C67" s="1" t="str">
        <f t="shared" si="0"/>
        <v>TijuanaTijuana</v>
      </c>
      <c r="D67" s="17"/>
      <c r="F67" s="16" t="s">
        <v>32</v>
      </c>
      <c r="G67" s="15" t="s">
        <v>32</v>
      </c>
      <c r="H67" s="1" t="str">
        <f t="shared" si="1"/>
        <v>TijuanaTijuana</v>
      </c>
      <c r="I67" s="17">
        <v>751</v>
      </c>
      <c r="J67" s="34"/>
    </row>
    <row r="68" spans="1:10" hidden="1" x14ac:dyDescent="0.3">
      <c r="A68" s="16" t="s">
        <v>32</v>
      </c>
      <c r="B68" s="15" t="s">
        <v>36</v>
      </c>
      <c r="C68" s="1" t="str">
        <f t="shared" si="0"/>
        <v>TijuanaMexicali</v>
      </c>
      <c r="D68" s="17"/>
      <c r="F68" s="16" t="s">
        <v>32</v>
      </c>
      <c r="G68" s="15" t="s">
        <v>36</v>
      </c>
      <c r="H68" s="1" t="str">
        <f t="shared" si="1"/>
        <v>TijuanaMexicali</v>
      </c>
      <c r="I68" s="17">
        <v>751</v>
      </c>
      <c r="J68" s="34"/>
    </row>
    <row r="69" spans="1:10" hidden="1" x14ac:dyDescent="0.3">
      <c r="A69" s="16" t="s">
        <v>40</v>
      </c>
      <c r="B69" s="32" t="s">
        <v>13</v>
      </c>
      <c r="C69" s="1" t="str">
        <f t="shared" si="0"/>
        <v>AltamiraSucursales</v>
      </c>
      <c r="D69" s="17"/>
      <c r="F69" s="16" t="s">
        <v>40</v>
      </c>
      <c r="G69" s="32" t="s">
        <v>13</v>
      </c>
      <c r="H69" s="1" t="str">
        <f t="shared" si="1"/>
        <v>AltamiraSucursales</v>
      </c>
      <c r="I69" s="17">
        <v>751</v>
      </c>
      <c r="J69" s="34"/>
    </row>
    <row r="70" spans="1:10" hidden="1" x14ac:dyDescent="0.3">
      <c r="A70" s="16" t="s">
        <v>41</v>
      </c>
      <c r="B70" s="32" t="s">
        <v>13</v>
      </c>
      <c r="C70" s="1" t="str">
        <f t="shared" si="0"/>
        <v>ManzanilloSucursales</v>
      </c>
      <c r="D70" s="17"/>
      <c r="F70" s="16" t="s">
        <v>41</v>
      </c>
      <c r="G70" s="32" t="s">
        <v>13</v>
      </c>
      <c r="H70" s="1" t="str">
        <f t="shared" si="1"/>
        <v>ManzanilloSucursales</v>
      </c>
      <c r="I70" s="17">
        <v>751</v>
      </c>
      <c r="J70" s="34"/>
    </row>
    <row r="71" spans="1:10" x14ac:dyDescent="0.3">
      <c r="A71" s="135"/>
      <c r="B71" s="136"/>
      <c r="F71" s="9"/>
      <c r="I71" s="135"/>
      <c r="J71" s="34"/>
    </row>
    <row r="72" spans="1:10" x14ac:dyDescent="0.3">
      <c r="A72" s="135"/>
      <c r="B72" s="136"/>
      <c r="F72" s="9"/>
      <c r="I72" s="135"/>
      <c r="J72" s="34"/>
    </row>
    <row r="73" spans="1:10" x14ac:dyDescent="0.3">
      <c r="A73" s="268"/>
      <c r="B73" s="37"/>
    </row>
    <row r="74" spans="1:10" x14ac:dyDescent="0.3">
      <c r="A74" s="268"/>
      <c r="B74" s="37"/>
    </row>
    <row r="75" spans="1:10" x14ac:dyDescent="0.3">
      <c r="A75" s="268"/>
      <c r="B75" s="37"/>
    </row>
    <row r="76" spans="1:10" ht="15" thickBot="1" x14ac:dyDescent="0.35">
      <c r="A76" s="268"/>
      <c r="B76" s="37"/>
    </row>
    <row r="77" spans="1:10" ht="15" thickBot="1" x14ac:dyDescent="0.35">
      <c r="A77" s="432" t="s">
        <v>295</v>
      </c>
      <c r="B77" s="433"/>
      <c r="C77" s="433"/>
      <c r="D77" s="433"/>
      <c r="E77" s="433"/>
      <c r="F77" s="433"/>
      <c r="G77" s="434"/>
    </row>
    <row r="78" spans="1:10" x14ac:dyDescent="0.3">
      <c r="A78" s="137" t="s">
        <v>6</v>
      </c>
      <c r="B78" s="137" t="s">
        <v>256</v>
      </c>
      <c r="C78" s="137" t="s">
        <v>244</v>
      </c>
      <c r="D78" s="138" t="s">
        <v>293</v>
      </c>
      <c r="E78" s="138" t="s">
        <v>292</v>
      </c>
      <c r="F78" s="138" t="s">
        <v>294</v>
      </c>
      <c r="G78" s="138" t="s">
        <v>249</v>
      </c>
    </row>
    <row r="79" spans="1:10" x14ac:dyDescent="0.3">
      <c r="A79" s="16" t="s">
        <v>29</v>
      </c>
      <c r="B79" s="15" t="s">
        <v>21</v>
      </c>
      <c r="C79" s="1" t="str">
        <f>CONCATENATE(A79,B79,)</f>
        <v>El PasoChihuahua</v>
      </c>
      <c r="D79" s="284">
        <v>850</v>
      </c>
      <c r="E79" s="285">
        <v>650</v>
      </c>
      <c r="F79" s="285">
        <v>550</v>
      </c>
      <c r="G79" s="285">
        <v>350</v>
      </c>
    </row>
    <row r="80" spans="1:10" x14ac:dyDescent="0.3">
      <c r="A80" s="16" t="s">
        <v>29</v>
      </c>
      <c r="B80" s="15" t="s">
        <v>380</v>
      </c>
      <c r="C80" s="1" t="str">
        <f t="shared" ref="C80:C104" si="2">CONCATENATE(A80,B80,)</f>
        <v>El PasoJuarez</v>
      </c>
      <c r="D80" s="284">
        <v>150</v>
      </c>
      <c r="E80" s="284">
        <v>100</v>
      </c>
      <c r="F80" s="284">
        <v>100</v>
      </c>
      <c r="G80" s="285">
        <v>150</v>
      </c>
    </row>
    <row r="81" spans="1:7" x14ac:dyDescent="0.3">
      <c r="A81" s="16" t="s">
        <v>29</v>
      </c>
      <c r="B81" s="15" t="s">
        <v>34</v>
      </c>
      <c r="C81" s="1" t="str">
        <f t="shared" si="2"/>
        <v>El PasoPuebla</v>
      </c>
      <c r="D81" s="284">
        <v>1650</v>
      </c>
      <c r="E81" s="285">
        <v>1350</v>
      </c>
      <c r="F81" s="285">
        <v>1100</v>
      </c>
      <c r="G81" s="285">
        <v>700</v>
      </c>
    </row>
    <row r="82" spans="1:7" x14ac:dyDescent="0.3">
      <c r="A82" s="16" t="s">
        <v>29</v>
      </c>
      <c r="B82" s="15" t="s">
        <v>33</v>
      </c>
      <c r="C82" s="1" t="str">
        <f t="shared" si="2"/>
        <v>El PasoNogales</v>
      </c>
      <c r="D82" s="284">
        <v>1650</v>
      </c>
      <c r="E82" s="285">
        <v>1350</v>
      </c>
      <c r="F82" s="285">
        <v>1100</v>
      </c>
      <c r="G82" s="285">
        <v>450</v>
      </c>
    </row>
    <row r="83" spans="1:7" x14ac:dyDescent="0.3">
      <c r="A83" s="16" t="s">
        <v>29</v>
      </c>
      <c r="B83" s="15" t="s">
        <v>37</v>
      </c>
      <c r="C83" s="1" t="str">
        <f t="shared" si="2"/>
        <v>El PasoHermosillo</v>
      </c>
      <c r="D83" s="284">
        <v>1850</v>
      </c>
      <c r="E83" s="285">
        <v>1550</v>
      </c>
      <c r="F83" s="285">
        <v>1300</v>
      </c>
      <c r="G83" s="285">
        <v>450</v>
      </c>
    </row>
    <row r="84" spans="1:7" x14ac:dyDescent="0.3">
      <c r="A84" s="16" t="s">
        <v>31</v>
      </c>
      <c r="B84" s="15" t="s">
        <v>25</v>
      </c>
      <c r="C84" s="1" t="str">
        <f t="shared" si="2"/>
        <v>LaredoSaltillo</v>
      </c>
      <c r="D84" s="284">
        <v>950</v>
      </c>
      <c r="E84" s="285">
        <v>750</v>
      </c>
      <c r="F84" s="285">
        <v>750</v>
      </c>
      <c r="G84" s="285">
        <v>350</v>
      </c>
    </row>
    <row r="85" spans="1:7" x14ac:dyDescent="0.3">
      <c r="A85" s="16" t="s">
        <v>31</v>
      </c>
      <c r="B85" s="15" t="s">
        <v>27</v>
      </c>
      <c r="C85" s="1" t="str">
        <f t="shared" si="2"/>
        <v xml:space="preserve">LaredoTorreon </v>
      </c>
      <c r="D85" s="284">
        <v>1150</v>
      </c>
      <c r="E85" s="285">
        <v>950</v>
      </c>
      <c r="F85" s="285">
        <v>750</v>
      </c>
      <c r="G85" s="285">
        <v>350</v>
      </c>
    </row>
    <row r="86" spans="1:7" x14ac:dyDescent="0.3">
      <c r="A86" s="16" t="s">
        <v>31</v>
      </c>
      <c r="B86" s="15" t="s">
        <v>28</v>
      </c>
      <c r="C86" s="1" t="str">
        <f t="shared" si="2"/>
        <v>LaredoMonterrey</v>
      </c>
      <c r="D86" s="284">
        <v>750</v>
      </c>
      <c r="E86" s="285">
        <v>650</v>
      </c>
      <c r="F86" s="285">
        <v>550</v>
      </c>
      <c r="G86" s="285">
        <v>350</v>
      </c>
    </row>
    <row r="87" spans="1:7" x14ac:dyDescent="0.3">
      <c r="A87" s="16" t="s">
        <v>31</v>
      </c>
      <c r="B87" s="15" t="s">
        <v>30</v>
      </c>
      <c r="C87" s="1" t="str">
        <f t="shared" si="2"/>
        <v>LaredoCDMX</v>
      </c>
      <c r="D87" s="284">
        <v>1650</v>
      </c>
      <c r="E87" s="285">
        <v>1350</v>
      </c>
      <c r="F87" s="285">
        <v>1100</v>
      </c>
      <c r="G87" s="285">
        <v>700</v>
      </c>
    </row>
    <row r="88" spans="1:7" x14ac:dyDescent="0.3">
      <c r="A88" s="16" t="s">
        <v>31</v>
      </c>
      <c r="B88" s="15" t="s">
        <v>34</v>
      </c>
      <c r="C88" s="1" t="str">
        <f t="shared" si="2"/>
        <v>LaredoPuebla</v>
      </c>
      <c r="D88" s="284">
        <v>1850</v>
      </c>
      <c r="E88" s="285">
        <v>1550</v>
      </c>
      <c r="F88" s="285">
        <v>1300</v>
      </c>
      <c r="G88" s="285">
        <v>700</v>
      </c>
    </row>
    <row r="89" spans="1:7" x14ac:dyDescent="0.3">
      <c r="A89" s="16" t="s">
        <v>33</v>
      </c>
      <c r="B89" s="15" t="s">
        <v>33</v>
      </c>
      <c r="C89" s="1" t="str">
        <f t="shared" si="2"/>
        <v>NogalesNogales</v>
      </c>
      <c r="D89" s="284">
        <v>350</v>
      </c>
      <c r="E89" s="284">
        <v>350</v>
      </c>
      <c r="F89" s="284">
        <v>250</v>
      </c>
      <c r="G89" s="285">
        <v>150</v>
      </c>
    </row>
    <row r="90" spans="1:7" x14ac:dyDescent="0.3">
      <c r="A90" s="16" t="s">
        <v>33</v>
      </c>
      <c r="B90" s="15" t="s">
        <v>37</v>
      </c>
      <c r="C90" s="1" t="str">
        <f t="shared" si="2"/>
        <v>NogalesHermosillo</v>
      </c>
      <c r="D90" s="284">
        <v>850</v>
      </c>
      <c r="E90" s="285">
        <v>650</v>
      </c>
      <c r="F90" s="285">
        <v>550</v>
      </c>
      <c r="G90" s="285">
        <v>350</v>
      </c>
    </row>
    <row r="91" spans="1:7" x14ac:dyDescent="0.3">
      <c r="A91" s="16" t="s">
        <v>33</v>
      </c>
      <c r="B91" s="15" t="s">
        <v>36</v>
      </c>
      <c r="C91" s="1" t="str">
        <f t="shared" si="2"/>
        <v>NogalesMexicali</v>
      </c>
      <c r="D91" s="284">
        <v>850</v>
      </c>
      <c r="E91" s="285">
        <v>650</v>
      </c>
      <c r="F91" s="285">
        <v>550</v>
      </c>
      <c r="G91" s="285">
        <v>350</v>
      </c>
    </row>
    <row r="92" spans="1:7" x14ac:dyDescent="0.3">
      <c r="A92" s="16" t="s">
        <v>35</v>
      </c>
      <c r="B92" s="15" t="s">
        <v>36</v>
      </c>
      <c r="C92" s="1" t="str">
        <f t="shared" si="2"/>
        <v>San DiegoMexicali</v>
      </c>
      <c r="D92" s="284">
        <v>850</v>
      </c>
      <c r="E92" s="285">
        <v>650</v>
      </c>
      <c r="F92" s="285">
        <v>550</v>
      </c>
      <c r="G92" s="285">
        <v>150</v>
      </c>
    </row>
    <row r="93" spans="1:7" x14ac:dyDescent="0.3">
      <c r="A93" s="16" t="s">
        <v>35</v>
      </c>
      <c r="B93" s="15" t="s">
        <v>32</v>
      </c>
      <c r="C93" s="1" t="str">
        <f t="shared" si="2"/>
        <v>San DiegoTijuana</v>
      </c>
      <c r="D93" s="284">
        <v>350</v>
      </c>
      <c r="E93" s="284">
        <v>350</v>
      </c>
      <c r="F93" s="284">
        <v>250</v>
      </c>
      <c r="G93" s="285">
        <v>150</v>
      </c>
    </row>
    <row r="94" spans="1:7" x14ac:dyDescent="0.3">
      <c r="A94" s="16" t="s">
        <v>28</v>
      </c>
      <c r="B94" s="15" t="s">
        <v>28</v>
      </c>
      <c r="C94" s="1" t="str">
        <f t="shared" si="2"/>
        <v>MonterreyMonterrey</v>
      </c>
      <c r="D94" s="285">
        <v>650</v>
      </c>
      <c r="E94" s="285">
        <v>450</v>
      </c>
      <c r="F94" s="285">
        <v>350</v>
      </c>
      <c r="G94" s="285">
        <v>150</v>
      </c>
    </row>
    <row r="95" spans="1:7" x14ac:dyDescent="0.3">
      <c r="A95" s="16" t="s">
        <v>28</v>
      </c>
      <c r="B95" s="15" t="s">
        <v>25</v>
      </c>
      <c r="C95" s="1" t="str">
        <f t="shared" si="2"/>
        <v>MonterreySaltillo</v>
      </c>
      <c r="D95" s="285">
        <v>650</v>
      </c>
      <c r="E95" s="285">
        <v>450</v>
      </c>
      <c r="F95" s="285">
        <v>350</v>
      </c>
      <c r="G95" s="285">
        <v>350</v>
      </c>
    </row>
    <row r="96" spans="1:7" x14ac:dyDescent="0.3">
      <c r="A96" s="16" t="s">
        <v>38</v>
      </c>
      <c r="B96" s="15" t="s">
        <v>34</v>
      </c>
      <c r="C96" s="1" t="str">
        <f t="shared" si="2"/>
        <v>AICMPuebla</v>
      </c>
      <c r="D96" s="285">
        <v>650</v>
      </c>
      <c r="E96" s="285">
        <v>450</v>
      </c>
      <c r="F96" s="285">
        <v>350</v>
      </c>
      <c r="G96" s="285">
        <v>350</v>
      </c>
    </row>
    <row r="97" spans="1:7" x14ac:dyDescent="0.3">
      <c r="A97" s="16" t="s">
        <v>23</v>
      </c>
      <c r="B97" s="15" t="s">
        <v>21</v>
      </c>
      <c r="C97" s="1" t="str">
        <f t="shared" si="2"/>
        <v>Cd. JuarezChihuahua</v>
      </c>
      <c r="D97" s="285">
        <v>650</v>
      </c>
      <c r="E97" s="285">
        <v>450</v>
      </c>
      <c r="F97" s="285">
        <v>350</v>
      </c>
      <c r="G97" s="285">
        <v>350</v>
      </c>
    </row>
    <row r="98" spans="1:7" x14ac:dyDescent="0.3">
      <c r="A98" s="16" t="s">
        <v>23</v>
      </c>
      <c r="B98" s="15" t="s">
        <v>380</v>
      </c>
      <c r="C98" s="1" t="str">
        <f t="shared" si="2"/>
        <v>Cd. JuarezJuarez</v>
      </c>
      <c r="D98" s="285">
        <v>250</v>
      </c>
      <c r="E98" s="285">
        <v>200</v>
      </c>
      <c r="F98" s="285">
        <v>150</v>
      </c>
      <c r="G98" s="285">
        <v>150</v>
      </c>
    </row>
    <row r="99" spans="1:7" x14ac:dyDescent="0.3">
      <c r="A99" s="16" t="s">
        <v>23</v>
      </c>
      <c r="B99" s="15" t="s">
        <v>34</v>
      </c>
      <c r="C99" s="1" t="str">
        <f t="shared" si="2"/>
        <v>Cd. JuarezPuebla</v>
      </c>
      <c r="D99" s="285">
        <v>1350</v>
      </c>
      <c r="E99" s="285">
        <v>1150</v>
      </c>
      <c r="F99" s="285">
        <v>950</v>
      </c>
      <c r="G99" s="285">
        <v>700</v>
      </c>
    </row>
    <row r="100" spans="1:7" x14ac:dyDescent="0.3">
      <c r="A100" s="16" t="s">
        <v>23</v>
      </c>
      <c r="B100" s="15" t="s">
        <v>33</v>
      </c>
      <c r="C100" s="1" t="str">
        <f t="shared" si="2"/>
        <v>Cd. JuarezNogales</v>
      </c>
      <c r="D100" s="285">
        <v>1150</v>
      </c>
      <c r="E100" s="285">
        <v>950</v>
      </c>
      <c r="F100" s="285">
        <v>650</v>
      </c>
      <c r="G100" s="285">
        <v>450</v>
      </c>
    </row>
    <row r="101" spans="1:7" x14ac:dyDescent="0.3">
      <c r="A101" s="16" t="s">
        <v>32</v>
      </c>
      <c r="B101" s="15" t="s">
        <v>32</v>
      </c>
      <c r="C101" s="1" t="str">
        <f t="shared" si="2"/>
        <v>TijuanaTijuana</v>
      </c>
      <c r="D101" s="285">
        <v>650</v>
      </c>
      <c r="E101" s="285">
        <v>450</v>
      </c>
      <c r="F101" s="285">
        <v>350</v>
      </c>
      <c r="G101" s="285">
        <v>150</v>
      </c>
    </row>
    <row r="102" spans="1:7" x14ac:dyDescent="0.3">
      <c r="A102" s="16" t="s">
        <v>32</v>
      </c>
      <c r="B102" s="15" t="s">
        <v>36</v>
      </c>
      <c r="C102" s="1" t="str">
        <f t="shared" si="2"/>
        <v>TijuanaMexicali</v>
      </c>
      <c r="D102" s="285">
        <v>650</v>
      </c>
      <c r="E102" s="285">
        <v>450</v>
      </c>
      <c r="F102" s="285">
        <v>350</v>
      </c>
      <c r="G102" s="285">
        <v>450</v>
      </c>
    </row>
    <row r="103" spans="1:7" x14ac:dyDescent="0.3">
      <c r="A103" s="16" t="s">
        <v>40</v>
      </c>
      <c r="B103" s="32" t="s">
        <v>13</v>
      </c>
      <c r="C103" s="1" t="str">
        <f t="shared" si="2"/>
        <v>AltamiraSucursales</v>
      </c>
      <c r="D103" s="284">
        <v>3500</v>
      </c>
      <c r="E103" s="285">
        <v>2500</v>
      </c>
      <c r="F103" s="285">
        <v>1900</v>
      </c>
      <c r="G103" s="285">
        <v>850</v>
      </c>
    </row>
    <row r="104" spans="1:7" x14ac:dyDescent="0.3">
      <c r="A104" s="16" t="s">
        <v>41</v>
      </c>
      <c r="B104" s="32" t="s">
        <v>13</v>
      </c>
      <c r="C104" s="1" t="str">
        <f t="shared" si="2"/>
        <v>ManzanilloSucursales</v>
      </c>
      <c r="D104" s="284">
        <v>3500</v>
      </c>
      <c r="E104" s="285">
        <v>2500</v>
      </c>
      <c r="F104" s="285">
        <v>1900</v>
      </c>
      <c r="G104" s="285">
        <v>850</v>
      </c>
    </row>
    <row r="105" spans="1:7" x14ac:dyDescent="0.3">
      <c r="A105" s="268"/>
      <c r="B105" s="37"/>
    </row>
    <row r="106" spans="1:7" x14ac:dyDescent="0.3">
      <c r="A106" s="268"/>
      <c r="B106" s="37"/>
    </row>
    <row r="107" spans="1:7" x14ac:dyDescent="0.3">
      <c r="A107" s="268"/>
      <c r="B107" s="37"/>
    </row>
    <row r="108" spans="1:7" x14ac:dyDescent="0.3">
      <c r="A108" s="268"/>
      <c r="B108" s="37"/>
    </row>
    <row r="109" spans="1:7" x14ac:dyDescent="0.3">
      <c r="A109" s="268"/>
      <c r="B109" s="37"/>
    </row>
    <row r="110" spans="1:7" x14ac:dyDescent="0.3">
      <c r="A110" s="268"/>
      <c r="B110" s="37"/>
    </row>
    <row r="111" spans="1:7" x14ac:dyDescent="0.3">
      <c r="A111" s="268"/>
      <c r="B111" s="37"/>
    </row>
    <row r="112" spans="1:7" x14ac:dyDescent="0.3">
      <c r="A112" s="268"/>
      <c r="B112" s="37"/>
    </row>
    <row r="113" spans="1:10" x14ac:dyDescent="0.3">
      <c r="A113" s="268"/>
      <c r="B113" s="37"/>
    </row>
    <row r="114" spans="1:10" x14ac:dyDescent="0.3">
      <c r="A114" s="268"/>
      <c r="B114" s="37"/>
    </row>
    <row r="115" spans="1:10" x14ac:dyDescent="0.3">
      <c r="A115" s="268"/>
      <c r="B115" s="37"/>
    </row>
    <row r="116" spans="1:10" x14ac:dyDescent="0.3">
      <c r="A116" s="268"/>
      <c r="F116" s="34"/>
      <c r="G116" s="34"/>
      <c r="H116" s="34"/>
      <c r="I116" s="135"/>
      <c r="J116" s="34"/>
    </row>
    <row r="117" spans="1:10" x14ac:dyDescent="0.3">
      <c r="F117" s="34"/>
      <c r="G117" s="34"/>
      <c r="H117" s="34"/>
      <c r="I117" s="135"/>
      <c r="J117" s="34"/>
    </row>
    <row r="118" spans="1:10" x14ac:dyDescent="0.3">
      <c r="F118" s="34"/>
      <c r="G118" s="34"/>
      <c r="H118" s="34"/>
      <c r="I118" s="135"/>
      <c r="J118" s="34"/>
    </row>
    <row r="119" spans="1:10" x14ac:dyDescent="0.3">
      <c r="F119" s="34"/>
      <c r="G119" s="34"/>
      <c r="H119" s="34"/>
      <c r="I119" s="135"/>
      <c r="J119" s="34"/>
    </row>
    <row r="120" spans="1:10" x14ac:dyDescent="0.3">
      <c r="F120" s="34"/>
      <c r="G120" s="34"/>
      <c r="H120" s="34"/>
      <c r="I120" s="135"/>
      <c r="J120" s="34"/>
    </row>
    <row r="121" spans="1:10" x14ac:dyDescent="0.3">
      <c r="F121" s="34"/>
      <c r="G121" s="34"/>
      <c r="H121" s="34"/>
      <c r="I121" s="135"/>
      <c r="J121" s="34"/>
    </row>
    <row r="122" spans="1:10" x14ac:dyDescent="0.3">
      <c r="F122" s="34"/>
      <c r="G122" s="34"/>
      <c r="H122" s="34"/>
      <c r="I122" s="135"/>
      <c r="J122" s="34"/>
    </row>
    <row r="123" spans="1:10" x14ac:dyDescent="0.3">
      <c r="F123" s="34"/>
      <c r="G123" s="34"/>
      <c r="H123" s="34"/>
      <c r="I123" s="135"/>
      <c r="J123" s="34"/>
    </row>
    <row r="124" spans="1:10" x14ac:dyDescent="0.3">
      <c r="F124" s="34"/>
      <c r="G124" s="34"/>
      <c r="H124" s="34"/>
      <c r="I124" s="135"/>
      <c r="J124" s="34"/>
    </row>
    <row r="125" spans="1:10" x14ac:dyDescent="0.3">
      <c r="F125" s="34"/>
      <c r="G125" s="34"/>
      <c r="H125" s="34"/>
      <c r="I125" s="135"/>
      <c r="J125" s="34"/>
    </row>
    <row r="126" spans="1:10" x14ac:dyDescent="0.3">
      <c r="F126" s="34"/>
      <c r="G126" s="34"/>
      <c r="H126" s="34"/>
      <c r="I126" s="135"/>
      <c r="J126" s="34"/>
    </row>
    <row r="127" spans="1:10" x14ac:dyDescent="0.3">
      <c r="F127" s="34"/>
      <c r="G127" s="34"/>
      <c r="H127" s="34"/>
      <c r="I127" s="135"/>
      <c r="J127" s="34"/>
    </row>
    <row r="128" spans="1:10" x14ac:dyDescent="0.3">
      <c r="F128" s="34"/>
      <c r="G128" s="34"/>
      <c r="H128" s="34"/>
      <c r="I128" s="135"/>
      <c r="J128" s="34"/>
    </row>
    <row r="129" spans="6:10" x14ac:dyDescent="0.3">
      <c r="F129" s="34"/>
      <c r="G129" s="34"/>
      <c r="H129" s="34"/>
      <c r="I129" s="135"/>
      <c r="J129" s="34"/>
    </row>
    <row r="130" spans="6:10" x14ac:dyDescent="0.3">
      <c r="F130" s="34"/>
      <c r="G130" s="34"/>
      <c r="H130" s="34"/>
      <c r="I130" s="135"/>
      <c r="J130" s="34"/>
    </row>
    <row r="131" spans="6:10" x14ac:dyDescent="0.3">
      <c r="F131" s="34"/>
      <c r="G131" s="34"/>
      <c r="H131" s="34"/>
      <c r="I131" s="135"/>
      <c r="J131" s="34"/>
    </row>
    <row r="132" spans="6:10" x14ac:dyDescent="0.3">
      <c r="F132" s="34"/>
      <c r="G132" s="34"/>
      <c r="H132" s="34"/>
      <c r="I132" s="135"/>
      <c r="J132" s="34"/>
    </row>
    <row r="133" spans="6:10" x14ac:dyDescent="0.3">
      <c r="F133" s="34"/>
      <c r="G133" s="34"/>
      <c r="H133" s="34"/>
      <c r="I133" s="135"/>
      <c r="J133" s="34"/>
    </row>
    <row r="134" spans="6:10" x14ac:dyDescent="0.3">
      <c r="F134" s="34"/>
      <c r="G134" s="34"/>
      <c r="H134" s="34"/>
      <c r="I134" s="135"/>
      <c r="J134" s="34"/>
    </row>
    <row r="135" spans="6:10" x14ac:dyDescent="0.3">
      <c r="F135" s="34"/>
      <c r="G135" s="34"/>
      <c r="H135" s="34"/>
      <c r="I135" s="135"/>
      <c r="J135" s="34"/>
    </row>
    <row r="136" spans="6:10" x14ac:dyDescent="0.3">
      <c r="F136" s="34"/>
      <c r="G136" s="34"/>
      <c r="H136" s="34"/>
      <c r="I136" s="135"/>
      <c r="J136" s="34"/>
    </row>
    <row r="137" spans="6:10" x14ac:dyDescent="0.3">
      <c r="F137" s="34"/>
      <c r="G137" s="34"/>
      <c r="H137" s="34"/>
      <c r="I137" s="135"/>
      <c r="J137" s="34"/>
    </row>
    <row r="138" spans="6:10" x14ac:dyDescent="0.3">
      <c r="F138" s="34"/>
      <c r="G138" s="34"/>
      <c r="H138" s="34"/>
      <c r="I138" s="135"/>
      <c r="J138" s="34"/>
    </row>
    <row r="139" spans="6:10" x14ac:dyDescent="0.3">
      <c r="F139" s="34"/>
      <c r="G139" s="34"/>
      <c r="H139" s="34"/>
      <c r="I139" s="135"/>
      <c r="J139" s="34"/>
    </row>
    <row r="140" spans="6:10" x14ac:dyDescent="0.3">
      <c r="F140" s="34"/>
      <c r="G140" s="34"/>
      <c r="H140" s="34"/>
      <c r="I140" s="135"/>
      <c r="J140" s="34"/>
    </row>
    <row r="141" spans="6:10" x14ac:dyDescent="0.3">
      <c r="F141" s="34"/>
      <c r="G141" s="34"/>
      <c r="H141" s="34"/>
      <c r="I141" s="135"/>
      <c r="J141" s="34"/>
    </row>
    <row r="142" spans="6:10" x14ac:dyDescent="0.3">
      <c r="F142" s="34"/>
      <c r="G142" s="34"/>
      <c r="H142" s="34"/>
      <c r="I142" s="135"/>
      <c r="J142" s="34"/>
    </row>
    <row r="143" spans="6:10" x14ac:dyDescent="0.3">
      <c r="F143" s="34"/>
      <c r="G143" s="34"/>
      <c r="H143" s="34"/>
      <c r="I143" s="135"/>
      <c r="J143" s="34"/>
    </row>
    <row r="144" spans="6:10" x14ac:dyDescent="0.3">
      <c r="F144" s="34"/>
      <c r="G144" s="34"/>
      <c r="H144" s="34"/>
      <c r="I144" s="135"/>
      <c r="J144" s="34"/>
    </row>
    <row r="145" spans="6:10" x14ac:dyDescent="0.3">
      <c r="F145" s="34"/>
      <c r="G145" s="34"/>
      <c r="H145" s="34"/>
      <c r="I145" s="135"/>
      <c r="J145" s="34"/>
    </row>
    <row r="146" spans="6:10" x14ac:dyDescent="0.3">
      <c r="F146" s="34"/>
      <c r="G146" s="34"/>
      <c r="H146" s="34"/>
      <c r="I146" s="135"/>
      <c r="J146" s="34"/>
    </row>
    <row r="147" spans="6:10" x14ac:dyDescent="0.3">
      <c r="F147" s="34"/>
      <c r="G147" s="34"/>
      <c r="H147" s="34"/>
      <c r="I147" s="135"/>
      <c r="J147" s="34"/>
    </row>
    <row r="148" spans="6:10" x14ac:dyDescent="0.3">
      <c r="F148" s="34"/>
      <c r="G148" s="34"/>
      <c r="H148" s="34"/>
      <c r="I148" s="135"/>
      <c r="J148" s="34"/>
    </row>
    <row r="149" spans="6:10" x14ac:dyDescent="0.3">
      <c r="F149" s="34"/>
      <c r="G149" s="34"/>
      <c r="H149" s="34"/>
      <c r="I149" s="135"/>
      <c r="J149" s="34"/>
    </row>
    <row r="150" spans="6:10" x14ac:dyDescent="0.3">
      <c r="F150" s="34"/>
      <c r="G150" s="34"/>
      <c r="H150" s="34"/>
      <c r="I150" s="135"/>
      <c r="J150" s="34"/>
    </row>
    <row r="151" spans="6:10" x14ac:dyDescent="0.3">
      <c r="F151" s="34"/>
      <c r="G151" s="34"/>
      <c r="H151" s="34"/>
      <c r="I151" s="135"/>
      <c r="J151" s="34"/>
    </row>
    <row r="152" spans="6:10" x14ac:dyDescent="0.3">
      <c r="F152" s="34"/>
      <c r="G152" s="34"/>
      <c r="H152" s="34"/>
      <c r="I152" s="135"/>
      <c r="J152" s="34"/>
    </row>
    <row r="153" spans="6:10" x14ac:dyDescent="0.3">
      <c r="F153" s="34"/>
      <c r="G153" s="34"/>
      <c r="H153" s="34"/>
      <c r="I153" s="135"/>
      <c r="J153" s="34"/>
    </row>
    <row r="154" spans="6:10" x14ac:dyDescent="0.3">
      <c r="F154" s="34"/>
      <c r="G154" s="34"/>
      <c r="H154" s="34"/>
      <c r="I154" s="135"/>
      <c r="J154" s="34"/>
    </row>
    <row r="155" spans="6:10" x14ac:dyDescent="0.3">
      <c r="F155" s="34"/>
      <c r="G155" s="34"/>
      <c r="H155" s="34"/>
      <c r="I155" s="135"/>
      <c r="J155" s="34"/>
    </row>
    <row r="156" spans="6:10" x14ac:dyDescent="0.3">
      <c r="F156" s="34"/>
      <c r="G156" s="34"/>
      <c r="H156" s="34"/>
      <c r="I156" s="135"/>
      <c r="J156" s="34"/>
    </row>
    <row r="157" spans="6:10" x14ac:dyDescent="0.3">
      <c r="F157" s="34"/>
      <c r="G157" s="34"/>
      <c r="H157" s="34"/>
      <c r="I157" s="135"/>
      <c r="J157" s="34"/>
    </row>
    <row r="158" spans="6:10" x14ac:dyDescent="0.3">
      <c r="F158" s="34"/>
      <c r="G158" s="34"/>
      <c r="H158" s="34"/>
      <c r="I158" s="135"/>
      <c r="J158" s="34"/>
    </row>
    <row r="159" spans="6:10" x14ac:dyDescent="0.3">
      <c r="F159" s="34"/>
      <c r="G159" s="34"/>
      <c r="H159" s="34"/>
      <c r="I159" s="135"/>
      <c r="J159" s="34"/>
    </row>
    <row r="160" spans="6:10" x14ac:dyDescent="0.3">
      <c r="F160" s="34"/>
      <c r="G160" s="34"/>
      <c r="H160" s="34"/>
      <c r="I160" s="135"/>
      <c r="J160" s="34"/>
    </row>
    <row r="161" spans="6:10" x14ac:dyDescent="0.3">
      <c r="F161" s="34"/>
      <c r="G161" s="34"/>
      <c r="H161" s="34"/>
      <c r="I161" s="135"/>
      <c r="J161" s="34"/>
    </row>
    <row r="162" spans="6:10" x14ac:dyDescent="0.3">
      <c r="F162" s="34"/>
      <c r="G162" s="34"/>
      <c r="H162" s="34"/>
      <c r="I162" s="135"/>
      <c r="J162" s="34"/>
    </row>
    <row r="163" spans="6:10" x14ac:dyDescent="0.3">
      <c r="F163" s="34"/>
      <c r="G163" s="34"/>
      <c r="H163" s="34"/>
      <c r="I163" s="135"/>
      <c r="J163" s="34"/>
    </row>
    <row r="164" spans="6:10" x14ac:dyDescent="0.3">
      <c r="F164" s="34"/>
      <c r="G164" s="34"/>
      <c r="H164" s="34"/>
      <c r="I164" s="135"/>
      <c r="J164" s="34"/>
    </row>
    <row r="165" spans="6:10" x14ac:dyDescent="0.3">
      <c r="F165" s="34"/>
      <c r="G165" s="34"/>
      <c r="H165" s="34"/>
      <c r="I165" s="135"/>
      <c r="J165" s="34"/>
    </row>
    <row r="166" spans="6:10" x14ac:dyDescent="0.3">
      <c r="F166" s="34"/>
      <c r="G166" s="34"/>
      <c r="H166" s="34"/>
      <c r="I166" s="135"/>
      <c r="J166" s="34"/>
    </row>
    <row r="167" spans="6:10" x14ac:dyDescent="0.3">
      <c r="F167" s="34"/>
      <c r="G167" s="34"/>
      <c r="H167" s="34"/>
      <c r="I167" s="135"/>
      <c r="J167" s="34"/>
    </row>
    <row r="168" spans="6:10" x14ac:dyDescent="0.3">
      <c r="F168" s="34"/>
      <c r="G168" s="34"/>
      <c r="H168" s="34"/>
      <c r="I168" s="135"/>
      <c r="J168" s="34"/>
    </row>
    <row r="169" spans="6:10" x14ac:dyDescent="0.3">
      <c r="F169" s="34"/>
      <c r="G169" s="34"/>
      <c r="H169" s="34"/>
      <c r="I169" s="135"/>
      <c r="J169" s="34"/>
    </row>
    <row r="170" spans="6:10" x14ac:dyDescent="0.3">
      <c r="F170" s="34"/>
      <c r="G170" s="34"/>
      <c r="H170" s="34"/>
      <c r="I170" s="135"/>
      <c r="J170" s="34"/>
    </row>
    <row r="171" spans="6:10" x14ac:dyDescent="0.3">
      <c r="F171" s="34"/>
      <c r="G171" s="34"/>
      <c r="H171" s="34"/>
      <c r="I171" s="135"/>
      <c r="J171" s="34"/>
    </row>
    <row r="172" spans="6:10" x14ac:dyDescent="0.3">
      <c r="F172" s="34"/>
      <c r="G172" s="34"/>
      <c r="H172" s="34"/>
      <c r="I172" s="135"/>
      <c r="J172" s="34"/>
    </row>
    <row r="173" spans="6:10" x14ac:dyDescent="0.3">
      <c r="F173" s="34"/>
      <c r="G173" s="34"/>
      <c r="H173" s="34"/>
      <c r="I173" s="135"/>
      <c r="J173" s="34"/>
    </row>
    <row r="174" spans="6:10" x14ac:dyDescent="0.3">
      <c r="F174" s="34"/>
      <c r="G174" s="34"/>
      <c r="H174" s="34"/>
      <c r="I174" s="135"/>
      <c r="J174" s="34"/>
    </row>
    <row r="175" spans="6:10" x14ac:dyDescent="0.3">
      <c r="F175" s="34"/>
      <c r="G175" s="34"/>
      <c r="H175" s="34"/>
      <c r="I175" s="135"/>
      <c r="J175" s="34"/>
    </row>
    <row r="176" spans="6:10" x14ac:dyDescent="0.3">
      <c r="F176" s="34"/>
      <c r="G176" s="34"/>
      <c r="H176" s="34"/>
      <c r="I176" s="135"/>
      <c r="J176" s="34"/>
    </row>
    <row r="177" spans="1:20" x14ac:dyDescent="0.3">
      <c r="F177" s="34"/>
      <c r="G177" s="34"/>
      <c r="H177" s="34"/>
      <c r="I177" s="135"/>
      <c r="J177" s="34"/>
    </row>
    <row r="178" spans="1:20" x14ac:dyDescent="0.3">
      <c r="F178" s="34"/>
      <c r="G178" s="34"/>
      <c r="H178" s="34"/>
      <c r="I178" s="135"/>
      <c r="J178" s="34"/>
    </row>
    <row r="179" spans="1:20" x14ac:dyDescent="0.3">
      <c r="F179" s="34"/>
      <c r="G179" s="34"/>
      <c r="H179" s="34"/>
      <c r="I179" s="135"/>
      <c r="J179" s="34"/>
    </row>
    <row r="180" spans="1:20" x14ac:dyDescent="0.3">
      <c r="F180" s="34"/>
      <c r="G180" s="34"/>
      <c r="H180" s="34"/>
      <c r="I180" s="135"/>
      <c r="J180" s="34"/>
    </row>
    <row r="181" spans="1:20" x14ac:dyDescent="0.3">
      <c r="F181" s="34"/>
      <c r="G181" s="34"/>
      <c r="H181" s="34"/>
      <c r="I181" s="135"/>
      <c r="J181" s="34"/>
    </row>
    <row r="182" spans="1:20" ht="15" thickBot="1" x14ac:dyDescent="0.35">
      <c r="F182" s="34"/>
      <c r="G182" s="34"/>
      <c r="H182" s="34"/>
      <c r="I182" s="135"/>
      <c r="J182" s="34"/>
    </row>
    <row r="183" spans="1:20" ht="15" thickBot="1" x14ac:dyDescent="0.35">
      <c r="A183" s="435" t="s">
        <v>235</v>
      </c>
      <c r="B183" s="436"/>
      <c r="C183" s="436"/>
      <c r="D183" s="436"/>
      <c r="E183" s="437"/>
      <c r="F183" s="34"/>
      <c r="G183" s="34"/>
      <c r="H183" s="34"/>
    </row>
    <row r="184" spans="1:20" x14ac:dyDescent="0.3">
      <c r="A184" s="237" t="s">
        <v>15</v>
      </c>
      <c r="B184" s="196" t="s">
        <v>236</v>
      </c>
      <c r="C184" s="196" t="s">
        <v>100</v>
      </c>
      <c r="D184" s="196" t="s">
        <v>230</v>
      </c>
      <c r="E184" s="196" t="s">
        <v>231</v>
      </c>
      <c r="F184" s="34"/>
      <c r="G184" s="34"/>
      <c r="H184" s="34"/>
      <c r="I184" s="34"/>
      <c r="J184" s="34"/>
    </row>
    <row r="185" spans="1:20" x14ac:dyDescent="0.3">
      <c r="A185" s="276" t="s">
        <v>4</v>
      </c>
      <c r="B185" s="132">
        <v>53</v>
      </c>
      <c r="C185" s="277">
        <v>0</v>
      </c>
      <c r="D185" s="277">
        <v>0</v>
      </c>
      <c r="E185" s="277">
        <v>0</v>
      </c>
      <c r="F185" s="34"/>
      <c r="G185" s="34"/>
      <c r="H185" s="34"/>
      <c r="I185" s="34"/>
      <c r="J185" s="34"/>
    </row>
    <row r="186" spans="1:20" x14ac:dyDescent="0.3">
      <c r="A186" s="276" t="s">
        <v>4</v>
      </c>
      <c r="B186" s="132">
        <v>20</v>
      </c>
      <c r="C186" s="277">
        <v>0</v>
      </c>
      <c r="D186" s="277">
        <v>0</v>
      </c>
      <c r="E186" s="277">
        <v>0</v>
      </c>
      <c r="F186" s="34"/>
      <c r="G186" s="34"/>
      <c r="H186" s="34"/>
      <c r="I186" s="34"/>
      <c r="J186" s="34"/>
    </row>
    <row r="187" spans="1:20" ht="15" thickBot="1" x14ac:dyDescent="0.35">
      <c r="A187" s="276" t="s">
        <v>4</v>
      </c>
      <c r="B187" s="132">
        <v>3.5</v>
      </c>
      <c r="C187" s="277">
        <v>0</v>
      </c>
      <c r="D187" s="277">
        <v>0</v>
      </c>
      <c r="E187" s="277">
        <v>0</v>
      </c>
      <c r="F187" s="34"/>
      <c r="G187" s="34"/>
      <c r="H187" s="34"/>
      <c r="I187" s="34"/>
      <c r="J187" s="34"/>
    </row>
    <row r="188" spans="1:20" x14ac:dyDescent="0.3">
      <c r="A188" s="237" t="s">
        <v>15</v>
      </c>
      <c r="B188" s="196" t="s">
        <v>236</v>
      </c>
      <c r="C188" s="196" t="s">
        <v>100</v>
      </c>
      <c r="D188" s="196" t="s">
        <v>230</v>
      </c>
      <c r="E188" s="196" t="s">
        <v>231</v>
      </c>
      <c r="F188" s="34"/>
      <c r="G188" s="34"/>
      <c r="H188" s="34"/>
      <c r="I188" s="34"/>
      <c r="J188" s="34"/>
      <c r="K188" s="37"/>
    </row>
    <row r="189" spans="1:20" x14ac:dyDescent="0.3">
      <c r="A189" s="276" t="s">
        <v>69</v>
      </c>
      <c r="B189" s="132">
        <v>53</v>
      </c>
      <c r="C189" s="277">
        <v>0</v>
      </c>
      <c r="D189" s="277">
        <v>0</v>
      </c>
      <c r="E189" s="277">
        <v>0</v>
      </c>
      <c r="F189" s="34"/>
      <c r="G189" s="34"/>
      <c r="H189" s="34"/>
      <c r="I189" s="34"/>
      <c r="J189" s="34"/>
      <c r="K189" s="37"/>
    </row>
    <row r="190" spans="1:20" s="9" customFormat="1" x14ac:dyDescent="0.3">
      <c r="A190" s="276" t="s">
        <v>69</v>
      </c>
      <c r="B190" s="132">
        <v>20</v>
      </c>
      <c r="C190" s="277">
        <v>0</v>
      </c>
      <c r="D190" s="277">
        <v>0</v>
      </c>
      <c r="E190" s="277">
        <v>0</v>
      </c>
      <c r="F190" s="34"/>
      <c r="G190" s="34"/>
      <c r="H190" s="34"/>
      <c r="I190" s="34"/>
      <c r="J190" s="34"/>
      <c r="K190" s="37"/>
      <c r="L190"/>
      <c r="M190"/>
      <c r="S190" s="37"/>
      <c r="T190" s="37"/>
    </row>
    <row r="191" spans="1:20" s="9" customFormat="1" ht="15" thickBot="1" x14ac:dyDescent="0.35">
      <c r="A191" s="276" t="s">
        <v>69</v>
      </c>
      <c r="B191" s="132">
        <v>3.5</v>
      </c>
      <c r="C191" s="277">
        <v>0</v>
      </c>
      <c r="D191" s="277">
        <v>0</v>
      </c>
      <c r="E191" s="277">
        <v>0</v>
      </c>
      <c r="F191" s="34"/>
      <c r="G191" s="34"/>
      <c r="H191" s="34"/>
      <c r="I191" s="34"/>
      <c r="J191" s="34"/>
      <c r="K191" s="37"/>
      <c r="L191"/>
      <c r="M191"/>
      <c r="S191" s="37"/>
      <c r="T191" s="37"/>
    </row>
    <row r="192" spans="1:20" s="9" customFormat="1" x14ac:dyDescent="0.3">
      <c r="A192" s="237" t="s">
        <v>15</v>
      </c>
      <c r="B192" s="196" t="s">
        <v>236</v>
      </c>
      <c r="C192" s="196" t="s">
        <v>100</v>
      </c>
      <c r="D192" s="196" t="s">
        <v>230</v>
      </c>
      <c r="E192" s="196" t="s">
        <v>231</v>
      </c>
      <c r="F192" s="34"/>
      <c r="G192" s="34"/>
      <c r="H192" s="34"/>
      <c r="I192" s="34"/>
      <c r="J192" s="34"/>
      <c r="K192" s="37"/>
      <c r="L192"/>
      <c r="M192"/>
      <c r="S192" s="37"/>
      <c r="T192" s="37"/>
    </row>
    <row r="193" spans="1:20" s="9" customFormat="1" x14ac:dyDescent="0.3">
      <c r="A193" s="276" t="s">
        <v>50</v>
      </c>
      <c r="B193" s="132">
        <v>53</v>
      </c>
      <c r="C193" s="277">
        <v>0</v>
      </c>
      <c r="D193" s="277">
        <v>0</v>
      </c>
      <c r="E193" s="277">
        <v>0</v>
      </c>
      <c r="F193" s="34"/>
      <c r="G193" s="34"/>
      <c r="H193" s="34"/>
      <c r="I193" s="34"/>
      <c r="J193" s="34"/>
      <c r="K193" s="37"/>
      <c r="L193"/>
      <c r="M193"/>
      <c r="S193" s="37"/>
      <c r="T193" s="37"/>
    </row>
    <row r="194" spans="1:20" s="9" customFormat="1" x14ac:dyDescent="0.3">
      <c r="A194" s="276" t="s">
        <v>50</v>
      </c>
      <c r="B194" s="132">
        <v>20</v>
      </c>
      <c r="C194" s="277">
        <v>0</v>
      </c>
      <c r="D194" s="277">
        <v>0</v>
      </c>
      <c r="E194" s="277">
        <v>0</v>
      </c>
      <c r="F194" s="34"/>
      <c r="G194" s="34"/>
      <c r="H194" s="34"/>
      <c r="I194" s="34"/>
      <c r="J194" s="34"/>
      <c r="K194" s="37"/>
      <c r="L194"/>
      <c r="M194"/>
      <c r="S194" s="37"/>
      <c r="T194" s="37"/>
    </row>
    <row r="195" spans="1:20" s="9" customFormat="1" ht="15" thickBot="1" x14ac:dyDescent="0.35">
      <c r="A195" s="276" t="s">
        <v>50</v>
      </c>
      <c r="B195" s="132">
        <v>3.5</v>
      </c>
      <c r="C195" s="277">
        <v>0</v>
      </c>
      <c r="D195" s="277">
        <v>0</v>
      </c>
      <c r="E195" s="277">
        <v>0</v>
      </c>
      <c r="F195" s="34"/>
      <c r="G195" s="34"/>
      <c r="H195" s="34"/>
      <c r="I195" s="34"/>
      <c r="J195" s="34"/>
      <c r="K195" s="37"/>
      <c r="L195"/>
      <c r="M195"/>
      <c r="S195" s="37"/>
      <c r="T195" s="37"/>
    </row>
    <row r="196" spans="1:20" x14ac:dyDescent="0.3">
      <c r="A196" s="237" t="s">
        <v>15</v>
      </c>
      <c r="B196" s="196" t="s">
        <v>236</v>
      </c>
      <c r="C196" s="196" t="s">
        <v>100</v>
      </c>
      <c r="D196" s="196" t="s">
        <v>230</v>
      </c>
      <c r="E196" s="196" t="s">
        <v>231</v>
      </c>
      <c r="F196" s="34"/>
      <c r="G196" s="34"/>
      <c r="H196" s="9"/>
      <c r="I196" s="9"/>
      <c r="J196" s="9"/>
      <c r="K196" s="9"/>
      <c r="L196" s="9"/>
      <c r="M196" s="9"/>
    </row>
    <row r="197" spans="1:20" x14ac:dyDescent="0.3">
      <c r="A197" s="276" t="s">
        <v>238</v>
      </c>
      <c r="B197" s="132">
        <v>53</v>
      </c>
      <c r="C197" s="277">
        <v>0</v>
      </c>
      <c r="D197" s="277">
        <v>0</v>
      </c>
      <c r="E197" s="277">
        <v>0</v>
      </c>
      <c r="F197" s="34"/>
      <c r="G197" s="34"/>
      <c r="H197" s="9"/>
      <c r="I197" s="9"/>
      <c r="J197" s="9"/>
      <c r="K197" s="9"/>
      <c r="L197" s="9"/>
      <c r="M197" s="9"/>
    </row>
    <row r="198" spans="1:20" x14ac:dyDescent="0.3">
      <c r="A198" s="276" t="s">
        <v>238</v>
      </c>
      <c r="B198" s="132">
        <v>20</v>
      </c>
      <c r="C198" s="277">
        <v>0</v>
      </c>
      <c r="D198" s="277">
        <v>0</v>
      </c>
      <c r="E198" s="277">
        <v>0</v>
      </c>
      <c r="F198" s="34"/>
      <c r="G198" s="34"/>
      <c r="H198" s="9"/>
      <c r="I198" s="9"/>
      <c r="J198" s="9"/>
      <c r="K198" s="9"/>
      <c r="L198" s="9"/>
      <c r="M198" s="9"/>
    </row>
    <row r="199" spans="1:20" s="9" customFormat="1" ht="15" thickBot="1" x14ac:dyDescent="0.35">
      <c r="A199" s="276" t="s">
        <v>238</v>
      </c>
      <c r="B199" s="132">
        <v>3.5</v>
      </c>
      <c r="C199" s="277">
        <v>0</v>
      </c>
      <c r="D199" s="277">
        <v>0</v>
      </c>
      <c r="E199" s="277">
        <v>0</v>
      </c>
      <c r="F199" s="34"/>
      <c r="G199" s="34"/>
      <c r="S199" s="37"/>
      <c r="T199" s="37"/>
    </row>
    <row r="200" spans="1:20" s="9" customFormat="1" x14ac:dyDescent="0.3">
      <c r="A200" s="237" t="s">
        <v>15</v>
      </c>
      <c r="B200" s="196" t="s">
        <v>240</v>
      </c>
      <c r="C200" s="196" t="s">
        <v>241</v>
      </c>
      <c r="D200" s="278"/>
      <c r="E200" s="279"/>
      <c r="F200" s="34"/>
      <c r="G200" s="34"/>
      <c r="S200" s="37"/>
      <c r="T200" s="37"/>
    </row>
    <row r="201" spans="1:20" s="9" customFormat="1" x14ac:dyDescent="0.3">
      <c r="A201" s="132" t="s">
        <v>20</v>
      </c>
      <c r="B201" s="132">
        <v>1</v>
      </c>
      <c r="C201" s="280">
        <f>787+221</f>
        <v>1008</v>
      </c>
      <c r="D201" s="281"/>
      <c r="E201" s="130"/>
      <c r="F201" s="34"/>
      <c r="G201" s="34"/>
      <c r="S201" s="37"/>
      <c r="T201" s="37"/>
    </row>
    <row r="202" spans="1:20" s="9" customFormat="1" x14ac:dyDescent="0.3">
      <c r="A202" s="132" t="s">
        <v>20</v>
      </c>
      <c r="B202" s="132">
        <v>2</v>
      </c>
      <c r="C202" s="280">
        <f>$C$201*B202</f>
        <v>2016</v>
      </c>
      <c r="D202" s="281"/>
      <c r="E202" s="130"/>
      <c r="F202"/>
      <c r="G202"/>
      <c r="H202"/>
      <c r="I202"/>
      <c r="J202"/>
      <c r="K202"/>
      <c r="L202"/>
      <c r="M202"/>
      <c r="S202" s="37"/>
      <c r="T202" s="37"/>
    </row>
    <row r="203" spans="1:20" s="9" customFormat="1" x14ac:dyDescent="0.3">
      <c r="A203" s="132" t="s">
        <v>20</v>
      </c>
      <c r="B203" s="132">
        <v>3</v>
      </c>
      <c r="C203" s="280">
        <f>$C$201*B203</f>
        <v>3024</v>
      </c>
      <c r="D203" s="1"/>
      <c r="E203" s="1"/>
      <c r="F203"/>
      <c r="G203"/>
      <c r="H203"/>
      <c r="I203"/>
      <c r="J203"/>
      <c r="K203"/>
      <c r="L203"/>
      <c r="M203"/>
      <c r="S203" s="37"/>
      <c r="T203" s="37"/>
    </row>
    <row r="204" spans="1:20" s="9" customFormat="1" x14ac:dyDescent="0.3">
      <c r="A204" s="132" t="s">
        <v>20</v>
      </c>
      <c r="B204" s="132">
        <v>4</v>
      </c>
      <c r="C204" s="280">
        <f>$C$201*B204</f>
        <v>4032</v>
      </c>
      <c r="D204" s="1"/>
      <c r="E204" s="1"/>
      <c r="F204"/>
      <c r="G204"/>
      <c r="H204"/>
      <c r="I204"/>
      <c r="J204"/>
      <c r="K204"/>
      <c r="L204"/>
      <c r="M204"/>
      <c r="S204" s="37"/>
      <c r="T204" s="37"/>
    </row>
    <row r="205" spans="1:20" s="9" customFormat="1" x14ac:dyDescent="0.3">
      <c r="A205" s="132" t="s">
        <v>20</v>
      </c>
      <c r="B205" s="132">
        <v>5</v>
      </c>
      <c r="C205" s="280">
        <f>$C$201*B205</f>
        <v>5040</v>
      </c>
      <c r="D205" s="1"/>
      <c r="E205" s="1"/>
      <c r="F205" s="34"/>
      <c r="G205" s="34"/>
      <c r="S205" s="37"/>
      <c r="T205" s="37"/>
    </row>
    <row r="206" spans="1:20" s="9" customFormat="1" x14ac:dyDescent="0.3">
      <c r="A206" s="132" t="s">
        <v>20</v>
      </c>
      <c r="B206" s="132">
        <v>6</v>
      </c>
      <c r="C206" s="280">
        <f>$C$201*B206</f>
        <v>6048</v>
      </c>
      <c r="D206" s="281"/>
      <c r="E206" s="130"/>
      <c r="F206" s="34"/>
      <c r="G206" s="34"/>
      <c r="S206" s="37"/>
      <c r="T206" s="37"/>
    </row>
    <row r="207" spans="1:20" s="9" customFormat="1" x14ac:dyDescent="0.3">
      <c r="A207" s="131" t="s">
        <v>237</v>
      </c>
      <c r="B207" s="29"/>
      <c r="C207" s="127"/>
      <c r="D207" s="127"/>
      <c r="E207" s="34"/>
      <c r="F207" s="34"/>
      <c r="G207" s="34"/>
      <c r="S207" s="37"/>
      <c r="T207" s="37"/>
    </row>
    <row r="208" spans="1:20" s="9" customFormat="1" x14ac:dyDescent="0.3">
      <c r="A208" s="131" t="s">
        <v>237</v>
      </c>
      <c r="B208" s="29"/>
      <c r="C208" s="127"/>
      <c r="D208" s="127"/>
      <c r="E208" s="34"/>
      <c r="F208" s="34"/>
      <c r="G208" s="34"/>
      <c r="S208" s="37"/>
      <c r="T208" s="37"/>
    </row>
    <row r="209" spans="1:20" s="9" customFormat="1" x14ac:dyDescent="0.3">
      <c r="A209" s="131" t="s">
        <v>237</v>
      </c>
      <c r="B209" s="29"/>
      <c r="C209" s="127"/>
      <c r="D209" s="127"/>
      <c r="E209" s="34"/>
      <c r="F209" s="34"/>
      <c r="G209" s="34"/>
      <c r="S209" s="37"/>
      <c r="T209" s="37"/>
    </row>
    <row r="210" spans="1:20" s="9" customFormat="1" x14ac:dyDescent="0.3">
      <c r="A210" s="131" t="s">
        <v>237</v>
      </c>
      <c r="B210" s="29"/>
      <c r="C210" s="127"/>
      <c r="D210" s="127"/>
      <c r="E210" s="34"/>
      <c r="F210" s="34"/>
      <c r="G210" s="34"/>
      <c r="S210" s="37"/>
      <c r="T210" s="37"/>
    </row>
    <row r="211" spans="1:20" s="9" customFormat="1" x14ac:dyDescent="0.3">
      <c r="A211" s="29"/>
      <c r="B211" s="29"/>
      <c r="C211" s="127"/>
      <c r="D211" s="127"/>
      <c r="E211" s="34"/>
      <c r="F211" s="34"/>
      <c r="G211" s="34"/>
      <c r="S211" s="37"/>
      <c r="T211" s="37"/>
    </row>
    <row r="212" spans="1:20" s="9" customFormat="1" x14ac:dyDescent="0.3">
      <c r="A212" s="282" t="s">
        <v>96</v>
      </c>
      <c r="B212" s="29"/>
      <c r="C212" s="127"/>
      <c r="D212" s="127"/>
      <c r="E212" s="34"/>
      <c r="F212" s="34"/>
      <c r="G212" s="34"/>
      <c r="S212" s="37"/>
      <c r="T212" s="37"/>
    </row>
    <row r="213" spans="1:20" s="9" customFormat="1" x14ac:dyDescent="0.3">
      <c r="A213" s="29"/>
      <c r="B213" s="29"/>
      <c r="C213" s="127"/>
      <c r="D213" s="127"/>
      <c r="E213" s="34"/>
      <c r="F213" s="34"/>
      <c r="G213" s="34"/>
      <c r="S213" s="37"/>
      <c r="T213" s="37"/>
    </row>
    <row r="214" spans="1:20" s="9" customFormat="1" x14ac:dyDescent="0.3">
      <c r="A214" s="29"/>
      <c r="B214" s="29"/>
      <c r="C214" s="127"/>
      <c r="D214" s="127"/>
      <c r="E214" s="34"/>
      <c r="F214" s="34"/>
      <c r="G214" s="34"/>
      <c r="S214" s="37"/>
      <c r="T214" s="37"/>
    </row>
    <row r="215" spans="1:20" s="9" customFormat="1" x14ac:dyDescent="0.3">
      <c r="A215" s="29"/>
      <c r="B215" s="29"/>
      <c r="C215" s="127"/>
      <c r="D215" s="127"/>
      <c r="E215" s="34"/>
      <c r="F215" s="34"/>
      <c r="G215" s="34"/>
      <c r="S215" s="37"/>
      <c r="T215" s="37"/>
    </row>
    <row r="216" spans="1:20" s="9" customFormat="1" x14ac:dyDescent="0.3">
      <c r="A216" s="29"/>
      <c r="B216" s="29"/>
      <c r="C216" s="127"/>
      <c r="D216" s="127"/>
      <c r="E216" s="34"/>
      <c r="F216" s="34"/>
      <c r="G216" s="34"/>
      <c r="S216" s="37"/>
      <c r="T216" s="37"/>
    </row>
    <row r="217" spans="1:20" s="9" customFormat="1" x14ac:dyDescent="0.3">
      <c r="A217" s="29"/>
      <c r="B217" s="29"/>
      <c r="C217" s="127"/>
      <c r="D217" s="127"/>
      <c r="E217" s="34"/>
      <c r="F217" s="34"/>
      <c r="G217" s="34"/>
      <c r="S217" s="37"/>
      <c r="T217" s="37"/>
    </row>
    <row r="218" spans="1:20" x14ac:dyDescent="0.3">
      <c r="A218" s="29"/>
      <c r="B218" s="29"/>
      <c r="C218" s="127"/>
      <c r="D218" s="127"/>
      <c r="E218" s="34"/>
      <c r="F218" s="34"/>
      <c r="G218" s="34"/>
      <c r="H218" s="9"/>
      <c r="I218" s="9"/>
      <c r="J218" s="9"/>
      <c r="K218" s="9"/>
      <c r="L218" s="9"/>
      <c r="M218" s="9"/>
    </row>
    <row r="219" spans="1:20" x14ac:dyDescent="0.3">
      <c r="A219" s="29"/>
      <c r="B219" s="29"/>
      <c r="C219" s="127"/>
      <c r="D219" s="127"/>
      <c r="E219" s="34"/>
      <c r="F219" s="34"/>
      <c r="G219" s="34"/>
      <c r="H219" s="9"/>
      <c r="I219" s="9"/>
      <c r="J219" s="9"/>
      <c r="K219" s="9"/>
      <c r="L219" s="9"/>
      <c r="M219" s="9"/>
    </row>
    <row r="220" spans="1:20" x14ac:dyDescent="0.3">
      <c r="A220" s="29"/>
      <c r="B220" s="29"/>
      <c r="C220" s="127"/>
      <c r="D220" s="127"/>
      <c r="E220" s="34"/>
      <c r="F220" s="34"/>
      <c r="G220" s="34"/>
      <c r="H220" s="9"/>
      <c r="I220" s="9"/>
      <c r="J220" s="9"/>
      <c r="K220" s="9"/>
      <c r="L220" s="9"/>
      <c r="M220" s="9"/>
    </row>
    <row r="221" spans="1:20" x14ac:dyDescent="0.3">
      <c r="A221" s="29"/>
      <c r="B221" s="29"/>
      <c r="C221" s="127"/>
      <c r="D221" s="127"/>
      <c r="E221" s="34"/>
      <c r="F221" s="34"/>
      <c r="G221" s="34"/>
      <c r="H221" s="9"/>
      <c r="I221" s="9"/>
      <c r="J221" s="9"/>
      <c r="K221" s="9"/>
      <c r="L221" s="9"/>
      <c r="M221" s="9"/>
    </row>
    <row r="222" spans="1:20" x14ac:dyDescent="0.3">
      <c r="A222" s="29"/>
      <c r="B222" s="29"/>
      <c r="C222" s="127"/>
      <c r="D222" s="127"/>
      <c r="E222" s="34"/>
      <c r="F222" s="34"/>
      <c r="G222" s="34"/>
      <c r="H222" s="9"/>
      <c r="I222" s="9"/>
      <c r="J222" s="9"/>
      <c r="K222" s="9"/>
      <c r="L222" s="9"/>
      <c r="M222" s="9"/>
    </row>
    <row r="223" spans="1:20" x14ac:dyDescent="0.3">
      <c r="A223" s="29"/>
      <c r="B223" s="29"/>
      <c r="C223" s="127"/>
      <c r="D223" s="127"/>
      <c r="E223" s="34"/>
      <c r="F223" s="34"/>
      <c r="G223" s="34"/>
      <c r="H223" s="9"/>
      <c r="I223" s="9"/>
      <c r="J223" s="9"/>
      <c r="K223" s="9"/>
      <c r="L223" s="9"/>
      <c r="M223" s="9"/>
    </row>
  </sheetData>
  <mergeCells count="5">
    <mergeCell ref="A183:E183"/>
    <mergeCell ref="A6:D6"/>
    <mergeCell ref="A43:D43"/>
    <mergeCell ref="F43:I43"/>
    <mergeCell ref="A77:G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8DA4-67DA-462C-9BB8-A4B92E743AA0}">
  <sheetPr codeName="Hoja3"/>
  <dimension ref="A1:AB246"/>
  <sheetViews>
    <sheetView tabSelected="1" topLeftCell="A141" zoomScale="80" zoomScaleNormal="80" workbookViewId="0">
      <selection activeCell="F100" sqref="F100"/>
    </sheetView>
  </sheetViews>
  <sheetFormatPr baseColWidth="10" defaultRowHeight="14.4" x14ac:dyDescent="0.3"/>
  <cols>
    <col min="1" max="1" width="31" customWidth="1"/>
    <col min="2" max="2" width="34" customWidth="1"/>
    <col min="3" max="3" width="28.33203125" customWidth="1"/>
    <col min="4" max="4" width="26.6640625" style="149" customWidth="1"/>
    <col min="5" max="5" width="29.88671875" customWidth="1"/>
    <col min="6" max="6" width="24.88671875" customWidth="1"/>
    <col min="7" max="7" width="38.109375" bestFit="1" customWidth="1"/>
    <col min="8" max="8" width="16.5546875" customWidth="1"/>
    <col min="9" max="9" width="21.5546875" bestFit="1" customWidth="1"/>
    <col min="10" max="10" width="20.5546875" customWidth="1"/>
    <col min="11" max="11" width="40.88671875" customWidth="1"/>
    <col min="12" max="12" width="20.5546875" bestFit="1" customWidth="1"/>
    <col min="13" max="13" width="21.44140625" customWidth="1"/>
    <col min="14" max="14" width="19.109375" bestFit="1" customWidth="1"/>
  </cols>
  <sheetData>
    <row r="1" spans="1:20" s="9" customFormat="1" ht="15" thickBot="1" x14ac:dyDescent="0.35">
      <c r="A1" s="54" t="s">
        <v>226</v>
      </c>
      <c r="B1" s="54"/>
      <c r="C1" s="54"/>
      <c r="D1" s="143"/>
      <c r="E1" s="54"/>
      <c r="F1" s="54"/>
      <c r="G1" s="54"/>
      <c r="H1" s="54"/>
      <c r="I1" s="33"/>
      <c r="J1" s="33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s="9" customFormat="1" ht="15" thickBot="1" x14ac:dyDescent="0.35">
      <c r="A2" s="10" t="s">
        <v>10</v>
      </c>
      <c r="B2" s="10"/>
      <c r="C2" s="11" t="s">
        <v>11</v>
      </c>
      <c r="D2" s="144" t="s">
        <v>12</v>
      </c>
      <c r="E2" s="34"/>
      <c r="F2" s="34"/>
      <c r="G2" s="34"/>
      <c r="S2" s="37"/>
      <c r="T2" s="37"/>
    </row>
    <row r="3" spans="1:20" s="9" customFormat="1" x14ac:dyDescent="0.3">
      <c r="A3" s="12">
        <v>1</v>
      </c>
      <c r="B3" s="12"/>
      <c r="C3" s="13">
        <v>1</v>
      </c>
      <c r="D3" s="145"/>
      <c r="E3" s="34"/>
      <c r="F3" s="34"/>
      <c r="G3" s="34"/>
      <c r="S3" s="37"/>
      <c r="T3" s="37"/>
    </row>
    <row r="4" spans="1:20" s="9" customFormat="1" ht="15" thickBot="1" x14ac:dyDescent="0.35">
      <c r="A4" s="29"/>
      <c r="B4" s="29"/>
      <c r="C4" s="127"/>
      <c r="D4" s="146"/>
      <c r="E4" s="34"/>
      <c r="F4" s="34"/>
      <c r="G4" s="34"/>
      <c r="S4" s="37"/>
      <c r="T4" s="37"/>
    </row>
    <row r="5" spans="1:20" s="9" customFormat="1" ht="15.75" customHeight="1" thickBot="1" x14ac:dyDescent="0.35">
      <c r="A5" s="442" t="s">
        <v>350</v>
      </c>
      <c r="B5" s="443"/>
      <c r="C5" s="443"/>
      <c r="D5" s="444"/>
      <c r="E5" s="34"/>
      <c r="F5" s="34"/>
      <c r="G5" s="34"/>
      <c r="S5" s="37"/>
      <c r="T5" s="37"/>
    </row>
    <row r="6" spans="1:20" s="9" customFormat="1" ht="15" thickBot="1" x14ac:dyDescent="0.35">
      <c r="A6" s="10" t="s">
        <v>315</v>
      </c>
      <c r="B6" s="10" t="s">
        <v>242</v>
      </c>
      <c r="C6" s="11" t="s">
        <v>243</v>
      </c>
      <c r="D6" s="144" t="s">
        <v>339</v>
      </c>
      <c r="E6" s="34"/>
      <c r="F6" s="34"/>
      <c r="G6" s="34"/>
      <c r="S6" s="37"/>
      <c r="T6" s="37"/>
    </row>
    <row r="7" spans="1:20" s="9" customFormat="1" x14ac:dyDescent="0.3">
      <c r="A7" s="12">
        <f>GUIALOG!$P$55</f>
        <v>123590</v>
      </c>
      <c r="B7" s="12">
        <f>GUIALOG!$P$88</f>
        <v>3</v>
      </c>
      <c r="C7" s="12" t="str">
        <f>GUIALOG!$P$89</f>
        <v>Embalaje URe</v>
      </c>
      <c r="D7" s="145" t="str">
        <f>GUIALOG!P87</f>
        <v>RABON 20´</v>
      </c>
      <c r="E7" s="34"/>
      <c r="F7" s="34"/>
      <c r="G7" s="34"/>
      <c r="S7" s="37"/>
      <c r="T7" s="37"/>
    </row>
    <row r="8" spans="1:20" s="9" customFormat="1" x14ac:dyDescent="0.3">
      <c r="A8" s="29"/>
      <c r="B8" s="29"/>
      <c r="C8" s="127"/>
      <c r="D8" s="146"/>
      <c r="E8" s="34"/>
      <c r="F8" s="34"/>
      <c r="G8" s="34"/>
      <c r="S8" s="37"/>
      <c r="T8" s="37"/>
    </row>
    <row r="9" spans="1:20" s="9" customFormat="1" ht="15" thickBot="1" x14ac:dyDescent="0.35">
      <c r="A9" s="29"/>
      <c r="B9" s="29"/>
      <c r="C9" s="127"/>
      <c r="D9" s="146"/>
      <c r="E9" s="34"/>
      <c r="F9" s="34"/>
      <c r="G9" s="34"/>
      <c r="S9" s="37"/>
      <c r="T9" s="37"/>
    </row>
    <row r="10" spans="1:20" s="9" customFormat="1" ht="15" thickBot="1" x14ac:dyDescent="0.35">
      <c r="A10" s="11" t="s">
        <v>349</v>
      </c>
      <c r="B10" s="29"/>
      <c r="C10" s="127"/>
      <c r="D10" s="146"/>
      <c r="E10" s="34"/>
      <c r="F10" s="34"/>
      <c r="G10" s="34"/>
      <c r="S10" s="37"/>
      <c r="T10" s="37"/>
    </row>
    <row r="11" spans="1:20" s="9" customFormat="1" x14ac:dyDescent="0.3">
      <c r="A11" s="28" t="s">
        <v>293</v>
      </c>
      <c r="B11" s="29"/>
      <c r="C11" s="127"/>
      <c r="D11" s="146"/>
      <c r="E11" s="34"/>
      <c r="F11" s="34"/>
      <c r="G11" s="34"/>
      <c r="S11" s="37"/>
      <c r="T11" s="37"/>
    </row>
    <row r="12" spans="1:20" s="9" customFormat="1" x14ac:dyDescent="0.3">
      <c r="A12" s="15" t="s">
        <v>292</v>
      </c>
      <c r="B12" s="29"/>
      <c r="C12" s="127"/>
      <c r="D12" s="146"/>
      <c r="E12" s="34"/>
      <c r="F12" s="34"/>
      <c r="G12" s="34"/>
      <c r="S12" s="37"/>
      <c r="T12" s="37"/>
    </row>
    <row r="13" spans="1:20" s="9" customFormat="1" x14ac:dyDescent="0.3">
      <c r="A13" s="15" t="s">
        <v>294</v>
      </c>
      <c r="B13" s="29"/>
      <c r="C13" s="127"/>
      <c r="D13" s="146"/>
      <c r="E13" s="34"/>
      <c r="F13" s="34"/>
      <c r="G13" s="34"/>
      <c r="S13" s="37"/>
      <c r="T13" s="37"/>
    </row>
    <row r="14" spans="1:20" s="9" customFormat="1" x14ac:dyDescent="0.3">
      <c r="A14" s="15" t="s">
        <v>249</v>
      </c>
      <c r="B14" s="29"/>
      <c r="C14" s="127"/>
      <c r="D14" s="146"/>
      <c r="E14" s="34"/>
      <c r="F14" s="34"/>
      <c r="G14" s="34"/>
      <c r="S14" s="37"/>
      <c r="T14" s="37"/>
    </row>
    <row r="15" spans="1:20" s="9" customFormat="1" x14ac:dyDescent="0.3">
      <c r="A15" s="29"/>
      <c r="B15" s="29"/>
      <c r="C15" s="127"/>
      <c r="D15" s="146"/>
      <c r="E15" s="34"/>
      <c r="F15" s="34"/>
      <c r="G15" s="34"/>
      <c r="S15" s="37"/>
      <c r="T15" s="37"/>
    </row>
    <row r="16" spans="1:20" s="9" customFormat="1" ht="15" thickBot="1" x14ac:dyDescent="0.35">
      <c r="A16" s="29"/>
      <c r="B16" s="29"/>
      <c r="C16" s="127"/>
      <c r="D16" s="146"/>
      <c r="E16" s="34"/>
      <c r="F16" s="34"/>
      <c r="G16" s="34"/>
      <c r="S16" s="37"/>
      <c r="T16" s="37"/>
    </row>
    <row r="17" spans="1:28" s="9" customFormat="1" ht="15.75" customHeight="1" thickBot="1" x14ac:dyDescent="0.35">
      <c r="A17" s="18" t="s">
        <v>13</v>
      </c>
      <c r="B17" s="14" t="s">
        <v>164</v>
      </c>
      <c r="C17" s="14" t="s">
        <v>15</v>
      </c>
      <c r="D17" s="144" t="s">
        <v>150</v>
      </c>
      <c r="E17" s="14" t="s">
        <v>14</v>
      </c>
      <c r="F17" s="14" t="s">
        <v>205</v>
      </c>
      <c r="G17" s="14" t="s">
        <v>164</v>
      </c>
      <c r="H17" s="34"/>
      <c r="AA17"/>
      <c r="AB17" s="35"/>
    </row>
    <row r="18" spans="1:28" s="9" customFormat="1" ht="15.75" customHeight="1" x14ac:dyDescent="0.3">
      <c r="A18" s="25" t="s">
        <v>21</v>
      </c>
      <c r="B18" s="38">
        <v>1</v>
      </c>
      <c r="C18" s="31" t="s">
        <v>16</v>
      </c>
      <c r="D18" s="147">
        <v>0.01</v>
      </c>
      <c r="E18" s="43" t="s">
        <v>29</v>
      </c>
      <c r="F18" s="41" t="s">
        <v>22</v>
      </c>
      <c r="G18" s="42" t="s">
        <v>0</v>
      </c>
      <c r="H18" s="34"/>
      <c r="AA18"/>
      <c r="AB18" s="35"/>
    </row>
    <row r="19" spans="1:28" s="9" customFormat="1" ht="15" customHeight="1" x14ac:dyDescent="0.3">
      <c r="A19" s="26" t="s">
        <v>380</v>
      </c>
      <c r="B19" s="38">
        <v>1</v>
      </c>
      <c r="C19" s="26" t="s">
        <v>17</v>
      </c>
      <c r="D19" s="147">
        <v>0.02</v>
      </c>
      <c r="E19" s="43" t="s">
        <v>31</v>
      </c>
      <c r="F19" s="43" t="s">
        <v>24</v>
      </c>
      <c r="G19" s="44" t="s">
        <v>161</v>
      </c>
      <c r="H19" s="34"/>
      <c r="AA19"/>
      <c r="AB19" s="35"/>
    </row>
    <row r="20" spans="1:28" s="9" customFormat="1" ht="15" customHeight="1" x14ac:dyDescent="0.3">
      <c r="A20" s="26" t="s">
        <v>25</v>
      </c>
      <c r="B20" s="38">
        <v>2</v>
      </c>
      <c r="C20" s="26" t="s">
        <v>18</v>
      </c>
      <c r="D20" s="147">
        <v>0.03</v>
      </c>
      <c r="E20" s="43" t="s">
        <v>33</v>
      </c>
      <c r="F20" s="43" t="s">
        <v>26</v>
      </c>
      <c r="G20" s="44" t="s">
        <v>162</v>
      </c>
      <c r="H20" s="34"/>
      <c r="AA20"/>
      <c r="AB20" s="35"/>
    </row>
    <row r="21" spans="1:28" s="9" customFormat="1" ht="15" customHeight="1" x14ac:dyDescent="0.3">
      <c r="A21" s="26" t="s">
        <v>27</v>
      </c>
      <c r="B21" s="38">
        <v>2</v>
      </c>
      <c r="C21" s="26" t="s">
        <v>19</v>
      </c>
      <c r="D21" s="147">
        <v>0.04</v>
      </c>
      <c r="E21" s="43" t="s">
        <v>35</v>
      </c>
      <c r="F21" s="45" t="s">
        <v>22</v>
      </c>
      <c r="G21" s="46"/>
      <c r="H21" s="34"/>
      <c r="AA21"/>
      <c r="AB21" s="35"/>
    </row>
    <row r="22" spans="1:28" s="9" customFormat="1" ht="15" customHeight="1" x14ac:dyDescent="0.3">
      <c r="A22" s="26" t="s">
        <v>28</v>
      </c>
      <c r="B22" s="38">
        <v>2</v>
      </c>
      <c r="C22" s="26" t="s">
        <v>20</v>
      </c>
      <c r="D22" s="147">
        <v>0.05</v>
      </c>
      <c r="E22" s="43" t="s">
        <v>28</v>
      </c>
      <c r="F22" s="43" t="s">
        <v>29</v>
      </c>
      <c r="G22" s="44" t="s">
        <v>151</v>
      </c>
      <c r="H22" s="34"/>
      <c r="AA22"/>
      <c r="AB22" s="35"/>
    </row>
    <row r="23" spans="1:28" s="9" customFormat="1" ht="15" customHeight="1" x14ac:dyDescent="0.3">
      <c r="A23" s="26" t="s">
        <v>30</v>
      </c>
      <c r="B23" s="38">
        <v>2</v>
      </c>
      <c r="C23" s="26" t="s">
        <v>165</v>
      </c>
      <c r="D23" s="147">
        <v>0.06</v>
      </c>
      <c r="E23" s="43" t="s">
        <v>38</v>
      </c>
      <c r="F23" s="43" t="s">
        <v>31</v>
      </c>
      <c r="G23" s="44" t="s">
        <v>152</v>
      </c>
      <c r="H23" s="34"/>
      <c r="AA23"/>
      <c r="AB23" s="35"/>
    </row>
    <row r="24" spans="1:28" s="9" customFormat="1" ht="15" customHeight="1" x14ac:dyDescent="0.3">
      <c r="A24" s="26" t="s">
        <v>34</v>
      </c>
      <c r="B24" s="38">
        <v>3</v>
      </c>
      <c r="C24" s="26" t="s">
        <v>204</v>
      </c>
      <c r="D24" s="147">
        <v>7.0000000000000007E-2</v>
      </c>
      <c r="E24" s="43" t="s">
        <v>23</v>
      </c>
      <c r="F24" s="43" t="s">
        <v>33</v>
      </c>
      <c r="G24" s="44" t="s">
        <v>153</v>
      </c>
      <c r="H24" s="34"/>
      <c r="AA24"/>
      <c r="AB24" s="35"/>
    </row>
    <row r="25" spans="1:28" s="9" customFormat="1" ht="15" customHeight="1" x14ac:dyDescent="0.3">
      <c r="A25" s="26" t="s">
        <v>33</v>
      </c>
      <c r="B25" s="38">
        <v>4</v>
      </c>
      <c r="C25" s="26"/>
      <c r="D25" s="147">
        <v>0.08</v>
      </c>
      <c r="E25" s="43" t="s">
        <v>32</v>
      </c>
      <c r="F25" s="43" t="s">
        <v>35</v>
      </c>
      <c r="G25" s="44" t="s">
        <v>154</v>
      </c>
      <c r="H25" s="34"/>
      <c r="AA25"/>
      <c r="AB25" s="35"/>
    </row>
    <row r="26" spans="1:28" s="9" customFormat="1" ht="15.75" customHeight="1" x14ac:dyDescent="0.3">
      <c r="A26" s="26" t="s">
        <v>37</v>
      </c>
      <c r="B26" s="38">
        <v>4</v>
      </c>
      <c r="C26" s="26"/>
      <c r="D26" s="147">
        <v>0.09</v>
      </c>
      <c r="E26" s="43" t="s">
        <v>40</v>
      </c>
      <c r="F26" s="45" t="s">
        <v>24</v>
      </c>
      <c r="G26" s="46"/>
      <c r="H26" s="34"/>
      <c r="AA26"/>
      <c r="AB26" s="35"/>
    </row>
    <row r="27" spans="1:28" s="9" customFormat="1" ht="15.75" customHeight="1" thickBot="1" x14ac:dyDescent="0.35">
      <c r="A27" s="26" t="s">
        <v>36</v>
      </c>
      <c r="B27" s="38">
        <v>5</v>
      </c>
      <c r="C27" s="26"/>
      <c r="D27" s="147">
        <v>0.1</v>
      </c>
      <c r="E27" s="47" t="s">
        <v>41</v>
      </c>
      <c r="F27" s="43" t="s">
        <v>28</v>
      </c>
      <c r="G27" s="44" t="s">
        <v>157</v>
      </c>
      <c r="H27" s="34"/>
      <c r="AA27"/>
      <c r="AB27" s="35"/>
    </row>
    <row r="28" spans="1:28" s="9" customFormat="1" ht="15.75" customHeight="1" x14ac:dyDescent="0.3">
      <c r="A28" s="26" t="s">
        <v>32</v>
      </c>
      <c r="B28" s="38">
        <v>5</v>
      </c>
      <c r="C28" s="26"/>
      <c r="D28" s="147">
        <v>0.11</v>
      </c>
      <c r="E28" s="85"/>
      <c r="F28" s="43" t="s">
        <v>38</v>
      </c>
      <c r="G28" s="44" t="s">
        <v>155</v>
      </c>
      <c r="H28" s="34"/>
      <c r="AA28"/>
      <c r="AB28" s="35"/>
    </row>
    <row r="29" spans="1:28" s="9" customFormat="1" ht="15" thickBot="1" x14ac:dyDescent="0.35">
      <c r="A29" s="27"/>
      <c r="B29" s="38"/>
      <c r="C29" s="27"/>
      <c r="D29" s="147">
        <v>0.12</v>
      </c>
      <c r="E29" s="85"/>
      <c r="F29" s="43" t="s">
        <v>23</v>
      </c>
      <c r="G29" s="44" t="s">
        <v>156</v>
      </c>
      <c r="H29" s="34"/>
    </row>
    <row r="30" spans="1:28" s="9" customFormat="1" x14ac:dyDescent="0.3">
      <c r="A30" s="30"/>
      <c r="B30" s="32"/>
      <c r="C30" s="20"/>
      <c r="D30" s="147"/>
      <c r="E30" s="85"/>
      <c r="F30" s="43" t="s">
        <v>32</v>
      </c>
      <c r="G30" s="44" t="s">
        <v>158</v>
      </c>
      <c r="H30" s="34"/>
    </row>
    <row r="31" spans="1:28" s="9" customFormat="1" ht="15.75" customHeight="1" x14ac:dyDescent="0.3">
      <c r="A31" s="32"/>
      <c r="B31" s="32"/>
      <c r="C31" s="16"/>
      <c r="D31" s="147"/>
      <c r="E31" s="85"/>
      <c r="F31" s="45" t="s">
        <v>26</v>
      </c>
      <c r="G31" s="46"/>
      <c r="H31" s="34"/>
    </row>
    <row r="32" spans="1:28" s="9" customFormat="1" x14ac:dyDescent="0.3">
      <c r="A32" s="16"/>
      <c r="B32" s="32"/>
      <c r="C32" s="16"/>
      <c r="D32" s="147"/>
      <c r="E32" s="85"/>
      <c r="F32" s="43" t="s">
        <v>40</v>
      </c>
      <c r="G32" s="44" t="s">
        <v>159</v>
      </c>
      <c r="H32" s="34"/>
    </row>
    <row r="33" spans="1:20" s="9" customFormat="1" ht="15" thickBot="1" x14ac:dyDescent="0.35">
      <c r="A33" s="16"/>
      <c r="B33" s="32"/>
      <c r="C33" s="16"/>
      <c r="D33" s="147"/>
      <c r="E33" s="85"/>
      <c r="F33" s="47" t="s">
        <v>41</v>
      </c>
      <c r="G33" s="48" t="s">
        <v>160</v>
      </c>
      <c r="H33" s="34"/>
    </row>
    <row r="34" spans="1:20" s="9" customFormat="1" x14ac:dyDescent="0.3">
      <c r="A34" s="16"/>
      <c r="B34" s="32"/>
      <c r="C34" s="16"/>
      <c r="D34" s="148"/>
      <c r="E34" s="85"/>
      <c r="F34" s="28"/>
      <c r="G34" s="28"/>
      <c r="H34" s="34"/>
    </row>
    <row r="35" spans="1:20" s="9" customFormat="1" x14ac:dyDescent="0.3">
      <c r="A35" s="16"/>
      <c r="B35" s="32"/>
      <c r="C35" s="16"/>
      <c r="D35" s="148"/>
      <c r="E35" s="85"/>
      <c r="F35" s="28"/>
      <c r="G35" s="28"/>
      <c r="H35" s="34"/>
    </row>
    <row r="36" spans="1:20" s="9" customFormat="1" x14ac:dyDescent="0.3">
      <c r="A36" s="20"/>
      <c r="B36" s="32"/>
      <c r="C36" s="16"/>
      <c r="D36" s="148"/>
      <c r="E36" s="85"/>
      <c r="F36" s="28"/>
      <c r="G36" s="28"/>
      <c r="H36" s="34"/>
    </row>
    <row r="37" spans="1:20" s="9" customFormat="1" x14ac:dyDescent="0.3">
      <c r="A37" s="20"/>
      <c r="B37" s="32"/>
      <c r="C37" s="16"/>
      <c r="D37" s="148"/>
      <c r="E37" s="85"/>
      <c r="F37" s="28"/>
      <c r="G37" s="28"/>
      <c r="H37" s="34"/>
    </row>
    <row r="38" spans="1:20" s="9" customFormat="1" x14ac:dyDescent="0.3">
      <c r="A38" s="29"/>
      <c r="B38" s="29"/>
      <c r="C38" s="127"/>
      <c r="D38" s="146"/>
      <c r="E38" s="34"/>
      <c r="F38" s="34"/>
      <c r="G38" s="34"/>
      <c r="S38" s="37"/>
      <c r="T38" s="37"/>
    </row>
    <row r="39" spans="1:20" ht="15" thickBot="1" x14ac:dyDescent="0.35">
      <c r="F39" s="34"/>
      <c r="G39" s="34"/>
      <c r="H39" s="34"/>
    </row>
    <row r="40" spans="1:20" ht="15" thickBot="1" x14ac:dyDescent="0.35">
      <c r="A40" s="14" t="s">
        <v>254</v>
      </c>
      <c r="F40" s="34"/>
      <c r="G40" s="34"/>
      <c r="H40" s="34"/>
    </row>
    <row r="41" spans="1:20" x14ac:dyDescent="0.3">
      <c r="A41" s="182" t="s">
        <v>248</v>
      </c>
      <c r="F41" s="34"/>
      <c r="G41" s="34"/>
      <c r="H41" s="34"/>
    </row>
    <row r="42" spans="1:20" x14ac:dyDescent="0.3">
      <c r="A42" s="182" t="s">
        <v>424</v>
      </c>
      <c r="F42" s="34"/>
      <c r="G42" s="34"/>
      <c r="H42" s="34"/>
    </row>
    <row r="43" spans="1:20" x14ac:dyDescent="0.3">
      <c r="A43" s="182" t="s">
        <v>425</v>
      </c>
      <c r="F43" s="34"/>
      <c r="G43" s="34"/>
      <c r="H43" s="34"/>
    </row>
    <row r="44" spans="1:20" x14ac:dyDescent="0.3">
      <c r="A44" s="182" t="s">
        <v>426</v>
      </c>
      <c r="F44" s="34"/>
      <c r="G44" s="34"/>
      <c r="H44" s="34"/>
    </row>
    <row r="45" spans="1:20" x14ac:dyDescent="0.3">
      <c r="A45" s="182" t="s">
        <v>433</v>
      </c>
      <c r="F45" s="34"/>
      <c r="G45" s="34"/>
      <c r="H45" s="34"/>
    </row>
    <row r="46" spans="1:20" x14ac:dyDescent="0.3">
      <c r="A46" s="183" t="s">
        <v>428</v>
      </c>
      <c r="F46" s="34"/>
      <c r="G46" s="34"/>
      <c r="H46" s="34"/>
    </row>
    <row r="47" spans="1:20" x14ac:dyDescent="0.3">
      <c r="A47" s="17">
        <v>100</v>
      </c>
      <c r="F47" s="34"/>
      <c r="G47" s="34"/>
      <c r="H47" s="34"/>
    </row>
    <row r="48" spans="1:20" x14ac:dyDescent="0.3">
      <c r="A48" s="17">
        <v>200</v>
      </c>
      <c r="D48"/>
      <c r="F48" s="34"/>
      <c r="G48" s="34"/>
      <c r="H48" s="34"/>
    </row>
    <row r="49" spans="1:14" x14ac:dyDescent="0.3">
      <c r="A49" s="17">
        <v>300</v>
      </c>
      <c r="F49" s="34"/>
      <c r="G49" s="34"/>
      <c r="H49" s="34"/>
    </row>
    <row r="50" spans="1:14" x14ac:dyDescent="0.3">
      <c r="A50" s="17">
        <v>400</v>
      </c>
      <c r="J50" s="34"/>
      <c r="N50" s="9"/>
    </row>
    <row r="51" spans="1:14" x14ac:dyDescent="0.3">
      <c r="A51" s="17">
        <v>500</v>
      </c>
      <c r="J51" s="34"/>
      <c r="N51" s="9"/>
    </row>
    <row r="52" spans="1:14" x14ac:dyDescent="0.3">
      <c r="A52" s="17">
        <v>600</v>
      </c>
      <c r="J52" s="34"/>
      <c r="N52" s="9"/>
    </row>
    <row r="53" spans="1:14" x14ac:dyDescent="0.3">
      <c r="A53" s="17">
        <v>700</v>
      </c>
      <c r="J53" s="34"/>
      <c r="N53" s="9"/>
    </row>
    <row r="54" spans="1:14" x14ac:dyDescent="0.3">
      <c r="A54" s="17">
        <v>800</v>
      </c>
      <c r="J54" s="34"/>
      <c r="N54" s="9"/>
    </row>
    <row r="55" spans="1:14" x14ac:dyDescent="0.3">
      <c r="A55" s="17">
        <v>900</v>
      </c>
      <c r="J55" s="34"/>
      <c r="N55" s="9"/>
    </row>
    <row r="56" spans="1:14" x14ac:dyDescent="0.3">
      <c r="A56" s="17">
        <v>1000</v>
      </c>
      <c r="J56" s="34"/>
      <c r="N56" s="9"/>
    </row>
    <row r="57" spans="1:14" x14ac:dyDescent="0.3">
      <c r="A57" s="17">
        <v>1100</v>
      </c>
      <c r="J57" s="34"/>
      <c r="N57" s="9"/>
    </row>
    <row r="58" spans="1:14" x14ac:dyDescent="0.3">
      <c r="A58" s="17">
        <v>1200</v>
      </c>
      <c r="J58" s="34"/>
      <c r="N58" s="9"/>
    </row>
    <row r="59" spans="1:14" x14ac:dyDescent="0.3">
      <c r="A59" s="17">
        <v>1300</v>
      </c>
      <c r="J59" s="34"/>
      <c r="N59" s="9"/>
    </row>
    <row r="60" spans="1:14" x14ac:dyDescent="0.3">
      <c r="A60" s="17">
        <v>1400</v>
      </c>
      <c r="J60" s="34"/>
      <c r="N60" s="9"/>
    </row>
    <row r="61" spans="1:14" x14ac:dyDescent="0.3">
      <c r="A61" s="17">
        <v>1500</v>
      </c>
      <c r="J61" s="34"/>
      <c r="N61" s="9"/>
    </row>
    <row r="62" spans="1:14" x14ac:dyDescent="0.3">
      <c r="A62" s="17">
        <v>1600</v>
      </c>
      <c r="J62" s="34"/>
      <c r="N62" s="9"/>
    </row>
    <row r="63" spans="1:14" x14ac:dyDescent="0.3">
      <c r="A63" s="17">
        <v>1700</v>
      </c>
      <c r="J63" s="34"/>
      <c r="L63" s="9"/>
      <c r="N63" s="9"/>
    </row>
    <row r="64" spans="1:14" x14ac:dyDescent="0.3">
      <c r="A64" s="17">
        <v>1800</v>
      </c>
      <c r="I64" s="135"/>
      <c r="J64" s="34"/>
      <c r="N64" s="9"/>
    </row>
    <row r="65" spans="1:14" x14ac:dyDescent="0.3">
      <c r="A65" s="17">
        <v>1900</v>
      </c>
      <c r="I65" s="135"/>
      <c r="J65" s="34"/>
      <c r="N65" s="9"/>
    </row>
    <row r="66" spans="1:14" x14ac:dyDescent="0.3">
      <c r="A66" s="17">
        <v>2000</v>
      </c>
      <c r="I66" s="135"/>
      <c r="J66" s="34"/>
      <c r="N66" s="9"/>
    </row>
    <row r="67" spans="1:14" x14ac:dyDescent="0.3">
      <c r="A67" s="17">
        <v>2500</v>
      </c>
      <c r="I67" s="135"/>
      <c r="J67" s="34"/>
      <c r="N67" s="9"/>
    </row>
    <row r="68" spans="1:14" x14ac:dyDescent="0.3">
      <c r="A68" s="17">
        <v>3000</v>
      </c>
      <c r="I68" s="135"/>
      <c r="J68" s="34"/>
      <c r="N68" s="9"/>
    </row>
    <row r="69" spans="1:14" x14ac:dyDescent="0.3">
      <c r="A69" s="17">
        <v>3500</v>
      </c>
      <c r="I69" s="135"/>
      <c r="J69" s="34"/>
      <c r="N69" s="9"/>
    </row>
    <row r="70" spans="1:14" x14ac:dyDescent="0.3">
      <c r="A70" s="17">
        <v>4000</v>
      </c>
      <c r="I70" s="135"/>
      <c r="J70" s="34"/>
      <c r="N70" s="9"/>
    </row>
    <row r="71" spans="1:14" x14ac:dyDescent="0.3">
      <c r="A71" s="17">
        <v>4500</v>
      </c>
      <c r="I71" s="135"/>
      <c r="J71" s="34"/>
      <c r="N71" s="9"/>
    </row>
    <row r="72" spans="1:14" x14ac:dyDescent="0.3">
      <c r="A72" s="17">
        <v>5000</v>
      </c>
      <c r="I72" s="135"/>
      <c r="J72" s="34"/>
      <c r="N72" s="9"/>
    </row>
    <row r="73" spans="1:14" x14ac:dyDescent="0.3">
      <c r="A73" s="17">
        <v>6000</v>
      </c>
      <c r="I73" s="135"/>
      <c r="J73" s="34"/>
      <c r="N73" s="9"/>
    </row>
    <row r="74" spans="1:14" x14ac:dyDescent="0.3">
      <c r="A74" s="17">
        <v>7000</v>
      </c>
      <c r="I74" s="135"/>
      <c r="J74" s="34"/>
      <c r="N74" s="9"/>
    </row>
    <row r="75" spans="1:14" x14ac:dyDescent="0.3">
      <c r="A75" s="17">
        <v>8000</v>
      </c>
      <c r="I75" s="135"/>
      <c r="J75" s="34"/>
      <c r="N75" s="9"/>
    </row>
    <row r="76" spans="1:14" x14ac:dyDescent="0.3">
      <c r="A76" s="17">
        <v>9000</v>
      </c>
      <c r="I76" s="135"/>
      <c r="J76" s="34"/>
      <c r="N76" s="9"/>
    </row>
    <row r="77" spans="1:14" x14ac:dyDescent="0.3">
      <c r="A77" s="17">
        <v>10000</v>
      </c>
      <c r="I77" s="135"/>
      <c r="J77" s="34"/>
      <c r="N77" s="9"/>
    </row>
    <row r="78" spans="1:14" x14ac:dyDescent="0.3">
      <c r="A78" s="17">
        <v>11000</v>
      </c>
      <c r="I78" s="135"/>
      <c r="J78" s="34"/>
      <c r="N78" s="9"/>
    </row>
    <row r="79" spans="1:14" x14ac:dyDescent="0.3">
      <c r="A79" s="17">
        <v>12000</v>
      </c>
      <c r="I79" s="135"/>
      <c r="J79" s="34"/>
      <c r="N79" s="9"/>
    </row>
    <row r="80" spans="1:14" x14ac:dyDescent="0.3">
      <c r="A80" s="17">
        <v>13000</v>
      </c>
      <c r="G80" s="34"/>
      <c r="H80" s="34"/>
      <c r="I80" s="135"/>
      <c r="J80" s="34"/>
    </row>
    <row r="81" spans="1:10" x14ac:dyDescent="0.3">
      <c r="A81" s="17">
        <v>14000</v>
      </c>
      <c r="G81" s="34"/>
      <c r="H81" s="34"/>
      <c r="I81" s="135"/>
      <c r="J81" s="34"/>
    </row>
    <row r="82" spans="1:10" x14ac:dyDescent="0.3">
      <c r="A82" s="17">
        <v>15000</v>
      </c>
      <c r="G82" s="34"/>
      <c r="H82" s="34"/>
      <c r="I82" s="135"/>
      <c r="J82" s="34"/>
    </row>
    <row r="83" spans="1:10" x14ac:dyDescent="0.3">
      <c r="A83" s="17">
        <v>20000</v>
      </c>
      <c r="G83" s="34"/>
      <c r="H83" s="34"/>
      <c r="I83" s="135"/>
      <c r="J83" s="34"/>
    </row>
    <row r="84" spans="1:10" x14ac:dyDescent="0.3">
      <c r="A84" s="17">
        <v>25000</v>
      </c>
      <c r="G84" s="34"/>
      <c r="H84" s="34"/>
      <c r="I84" s="135"/>
      <c r="J84" s="34"/>
    </row>
    <row r="85" spans="1:10" x14ac:dyDescent="0.3">
      <c r="A85" s="17">
        <v>30000</v>
      </c>
      <c r="G85" s="34"/>
      <c r="H85" s="34"/>
      <c r="I85" s="135"/>
      <c r="J85" s="34"/>
    </row>
    <row r="86" spans="1:10" x14ac:dyDescent="0.3">
      <c r="A86" s="17">
        <v>40000</v>
      </c>
      <c r="G86" s="34"/>
      <c r="H86" s="34"/>
      <c r="I86" s="135"/>
      <c r="J86" s="34"/>
    </row>
    <row r="87" spans="1:10" x14ac:dyDescent="0.3">
      <c r="G87" s="34"/>
      <c r="H87" s="34"/>
      <c r="I87" s="135"/>
      <c r="J87" s="34"/>
    </row>
    <row r="88" spans="1:10" x14ac:dyDescent="0.3">
      <c r="G88" s="34"/>
      <c r="H88" s="34"/>
      <c r="I88" s="135"/>
      <c r="J88" s="34"/>
    </row>
    <row r="89" spans="1:10" x14ac:dyDescent="0.3">
      <c r="G89" s="34"/>
      <c r="H89" s="34"/>
      <c r="I89" s="135"/>
      <c r="J89" s="34"/>
    </row>
    <row r="90" spans="1:10" x14ac:dyDescent="0.3">
      <c r="G90" s="34"/>
      <c r="H90" s="34"/>
      <c r="I90" s="135"/>
      <c r="J90" s="34"/>
    </row>
    <row r="91" spans="1:10" x14ac:dyDescent="0.3">
      <c r="F91" s="34"/>
      <c r="G91" s="34"/>
      <c r="H91" s="34"/>
      <c r="I91" s="135"/>
      <c r="J91" s="34"/>
    </row>
    <row r="92" spans="1:10" ht="15" thickBot="1" x14ac:dyDescent="0.35">
      <c r="F92" s="34"/>
      <c r="G92" s="34"/>
      <c r="H92" s="34"/>
      <c r="I92" s="135"/>
      <c r="J92" s="34"/>
    </row>
    <row r="93" spans="1:10" ht="15" thickBot="1" x14ac:dyDescent="0.35">
      <c r="A93" s="432" t="s">
        <v>342</v>
      </c>
      <c r="B93" s="433"/>
      <c r="C93" s="433"/>
      <c r="D93" s="433"/>
      <c r="E93" s="433"/>
      <c r="F93" s="433"/>
      <c r="G93" s="434"/>
      <c r="H93" s="34"/>
      <c r="I93" s="135"/>
      <c r="J93" s="34"/>
    </row>
    <row r="94" spans="1:10" x14ac:dyDescent="0.3">
      <c r="A94" s="137" t="s">
        <v>5</v>
      </c>
      <c r="B94" s="137" t="s">
        <v>381</v>
      </c>
      <c r="C94" s="137" t="s">
        <v>244</v>
      </c>
      <c r="D94" s="138" t="s">
        <v>293</v>
      </c>
      <c r="E94" s="138" t="s">
        <v>292</v>
      </c>
      <c r="F94" s="138" t="s">
        <v>294</v>
      </c>
      <c r="G94" s="138" t="s">
        <v>249</v>
      </c>
      <c r="H94" s="34"/>
      <c r="I94" s="135"/>
      <c r="J94" s="34"/>
    </row>
    <row r="95" spans="1:10" x14ac:dyDescent="0.3">
      <c r="A95" s="17" t="s">
        <v>4</v>
      </c>
      <c r="B95" s="16" t="s">
        <v>29</v>
      </c>
      <c r="C95" s="1" t="str">
        <f t="shared" ref="C95:C132" si="0">CONCATENATE(A95,B95,)</f>
        <v>HYTROLEl Paso</v>
      </c>
      <c r="D95" s="141">
        <v>3150</v>
      </c>
      <c r="E95" s="141">
        <v>2650</v>
      </c>
      <c r="F95" s="142">
        <v>1950</v>
      </c>
      <c r="G95" s="142" t="str">
        <f>IF(($C$7=100),D137,IF(AND($C$7&gt;100,$C$7&lt;300),$C$7*E137,IF(AND($C$7&gt;299,$C$7&lt;500),$C$7*F137,IF(AND($C$7&gt;499,$C$7&lt;1000),$C$7*G137,IF(AND($C$7&gt;999,$C$7&lt;2000),$C$7*H137,IF(AND($C$7&gt;1999,$C$7&lt;5001),$C$7*I137,"PD"))))))</f>
        <v>PD</v>
      </c>
      <c r="H95" s="34"/>
      <c r="I95" s="135"/>
      <c r="J95" s="34"/>
    </row>
    <row r="96" spans="1:10" x14ac:dyDescent="0.3">
      <c r="A96" s="17" t="s">
        <v>4</v>
      </c>
      <c r="B96" s="16" t="s">
        <v>31</v>
      </c>
      <c r="C96" s="1" t="str">
        <f t="shared" si="0"/>
        <v>HYTROLLaredo</v>
      </c>
      <c r="D96" s="141">
        <v>2150</v>
      </c>
      <c r="E96" s="141">
        <v>1750</v>
      </c>
      <c r="F96" s="141">
        <v>1650</v>
      </c>
      <c r="G96" s="142" t="str">
        <f t="shared" ref="G96:G110" si="1">IF(($C$7=100),D138,IF(AND($C$7&gt;100,$C$7&lt;300),$C$7*E138,IF(AND($C$7&gt;299,$C$7&lt;500),$C$7*F138,IF(AND($C$7&gt;499,$C$7&lt;1000),$C$7*G138,IF(AND($C$7&gt;999,$C$7&lt;2000),$C$7*H138,IF(AND($C$7&gt;1999,$C$7&lt;5001),$C$7*I138,"PD"))))))</f>
        <v>PD</v>
      </c>
      <c r="H96" s="34"/>
      <c r="I96" s="135"/>
      <c r="J96" s="34"/>
    </row>
    <row r="97" spans="1:10" x14ac:dyDescent="0.3">
      <c r="A97" s="17" t="s">
        <v>4</v>
      </c>
      <c r="B97" s="16" t="s">
        <v>35</v>
      </c>
      <c r="C97" s="1" t="str">
        <f t="shared" si="0"/>
        <v>HYTROLSan Diego</v>
      </c>
      <c r="D97" s="141">
        <v>3580</v>
      </c>
      <c r="E97" s="141">
        <v>3150</v>
      </c>
      <c r="F97" s="142">
        <v>2850</v>
      </c>
      <c r="G97" s="142" t="str">
        <f t="shared" si="1"/>
        <v>PD</v>
      </c>
      <c r="H97" s="34"/>
      <c r="I97" s="135"/>
      <c r="J97" s="34"/>
    </row>
    <row r="98" spans="1:10" x14ac:dyDescent="0.3">
      <c r="A98" s="17" t="s">
        <v>4</v>
      </c>
      <c r="B98" s="16" t="s">
        <v>33</v>
      </c>
      <c r="C98" s="1" t="str">
        <f t="shared" si="0"/>
        <v>HYTROLNogales</v>
      </c>
      <c r="D98" s="141">
        <v>3580</v>
      </c>
      <c r="E98" s="141">
        <v>3150</v>
      </c>
      <c r="F98" s="142">
        <v>2850</v>
      </c>
      <c r="G98" s="142" t="str">
        <f t="shared" si="1"/>
        <v>PD</v>
      </c>
      <c r="H98" s="34"/>
      <c r="I98" s="135"/>
      <c r="J98" s="34"/>
    </row>
    <row r="99" spans="1:10" x14ac:dyDescent="0.3">
      <c r="A99" s="17" t="s">
        <v>69</v>
      </c>
      <c r="B99" s="16" t="s">
        <v>29</v>
      </c>
      <c r="C99" s="1" t="str">
        <f t="shared" si="0"/>
        <v>SOUTHWORTHEl Paso</v>
      </c>
      <c r="D99" s="141">
        <v>3150</v>
      </c>
      <c r="E99" s="141">
        <v>2650</v>
      </c>
      <c r="F99" s="142">
        <v>1950</v>
      </c>
      <c r="G99" s="142" t="str">
        <f t="shared" si="1"/>
        <v>PD</v>
      </c>
      <c r="H99" s="34"/>
      <c r="I99" s="135"/>
      <c r="J99" s="34"/>
    </row>
    <row r="100" spans="1:10" x14ac:dyDescent="0.3">
      <c r="A100" s="17" t="s">
        <v>69</v>
      </c>
      <c r="B100" s="16" t="s">
        <v>31</v>
      </c>
      <c r="C100" s="1" t="str">
        <f t="shared" si="0"/>
        <v>SOUTHWORTHLaredo</v>
      </c>
      <c r="D100" s="141">
        <v>2150</v>
      </c>
      <c r="E100" s="141">
        <v>1750</v>
      </c>
      <c r="F100" s="141">
        <v>1650</v>
      </c>
      <c r="G100" s="142" t="str">
        <f t="shared" si="1"/>
        <v>PD</v>
      </c>
      <c r="H100" s="34"/>
      <c r="I100" s="135"/>
      <c r="J100" s="34"/>
    </row>
    <row r="101" spans="1:10" x14ac:dyDescent="0.3">
      <c r="A101" s="17" t="s">
        <v>69</v>
      </c>
      <c r="B101" s="16" t="s">
        <v>35</v>
      </c>
      <c r="C101" s="1" t="str">
        <f t="shared" si="0"/>
        <v>SOUTHWORTHSan Diego</v>
      </c>
      <c r="D101" s="141">
        <v>3580</v>
      </c>
      <c r="E101" s="141">
        <v>3150</v>
      </c>
      <c r="F101" s="142">
        <v>2850</v>
      </c>
      <c r="G101" s="142" t="str">
        <f t="shared" si="1"/>
        <v>PD</v>
      </c>
      <c r="H101" s="34"/>
      <c r="I101" s="135"/>
      <c r="J101" s="34"/>
    </row>
    <row r="102" spans="1:10" x14ac:dyDescent="0.3">
      <c r="A102" s="17" t="s">
        <v>69</v>
      </c>
      <c r="B102" s="16" t="s">
        <v>33</v>
      </c>
      <c r="C102" s="1" t="str">
        <f t="shared" si="0"/>
        <v>SOUTHWORTHNogales</v>
      </c>
      <c r="D102" s="141">
        <v>3580</v>
      </c>
      <c r="E102" s="142">
        <v>3150</v>
      </c>
      <c r="F102" s="142">
        <v>2850</v>
      </c>
      <c r="G102" s="142" t="str">
        <f t="shared" si="1"/>
        <v>PD</v>
      </c>
      <c r="H102" s="34"/>
      <c r="I102" s="135"/>
      <c r="J102" s="34"/>
    </row>
    <row r="103" spans="1:10" x14ac:dyDescent="0.3">
      <c r="A103" s="129" t="s">
        <v>50</v>
      </c>
      <c r="B103" s="16" t="s">
        <v>29</v>
      </c>
      <c r="C103" s="1" t="str">
        <f>CONCATENATE(A103,B103,)</f>
        <v>DORNEREl Paso</v>
      </c>
      <c r="D103" s="141">
        <v>3550</v>
      </c>
      <c r="E103" s="142">
        <v>3250</v>
      </c>
      <c r="F103" s="142">
        <v>2550</v>
      </c>
      <c r="G103" s="142" t="str">
        <f t="shared" si="1"/>
        <v>PD</v>
      </c>
      <c r="H103" s="34"/>
      <c r="I103" s="135"/>
      <c r="J103" s="34"/>
    </row>
    <row r="104" spans="1:10" x14ac:dyDescent="0.3">
      <c r="A104" s="129" t="s">
        <v>50</v>
      </c>
      <c r="B104" s="16" t="s">
        <v>31</v>
      </c>
      <c r="C104" s="1" t="str">
        <f t="shared" si="0"/>
        <v>DORNERLaredo</v>
      </c>
      <c r="D104" s="141">
        <v>2950</v>
      </c>
      <c r="E104" s="142">
        <v>2650</v>
      </c>
      <c r="F104" s="142">
        <v>2350</v>
      </c>
      <c r="G104" s="142" t="str">
        <f t="shared" si="1"/>
        <v>PD</v>
      </c>
      <c r="H104" s="34"/>
      <c r="I104" s="135"/>
      <c r="J104" s="34"/>
    </row>
    <row r="105" spans="1:10" x14ac:dyDescent="0.3">
      <c r="A105" s="129" t="s">
        <v>50</v>
      </c>
      <c r="B105" s="16" t="s">
        <v>35</v>
      </c>
      <c r="C105" s="1" t="str">
        <f t="shared" si="0"/>
        <v>DORNERSan Diego</v>
      </c>
      <c r="D105" s="141">
        <v>4250</v>
      </c>
      <c r="E105" s="141">
        <v>3950</v>
      </c>
      <c r="F105" s="142">
        <v>3250</v>
      </c>
      <c r="G105" s="142" t="str">
        <f t="shared" si="1"/>
        <v>PD</v>
      </c>
      <c r="H105" s="34"/>
      <c r="I105" s="135"/>
      <c r="J105" s="34"/>
    </row>
    <row r="106" spans="1:10" x14ac:dyDescent="0.3">
      <c r="A106" s="129" t="s">
        <v>50</v>
      </c>
      <c r="B106" s="16" t="s">
        <v>33</v>
      </c>
      <c r="C106" s="1" t="str">
        <f t="shared" si="0"/>
        <v>DORNERNogales</v>
      </c>
      <c r="D106" s="141">
        <v>4250</v>
      </c>
      <c r="E106" s="142">
        <v>3950</v>
      </c>
      <c r="F106" s="142">
        <v>3250</v>
      </c>
      <c r="G106" s="142" t="str">
        <f t="shared" si="1"/>
        <v>PD</v>
      </c>
      <c r="H106" s="34"/>
      <c r="I106" s="135"/>
      <c r="J106" s="34"/>
    </row>
    <row r="107" spans="1:10" x14ac:dyDescent="0.3">
      <c r="A107" s="129" t="s">
        <v>238</v>
      </c>
      <c r="B107" s="16" t="s">
        <v>29</v>
      </c>
      <c r="C107" s="1" t="str">
        <f t="shared" si="0"/>
        <v>INTECHMOTIONEl Paso</v>
      </c>
      <c r="D107" s="141">
        <v>3950</v>
      </c>
      <c r="E107" s="142">
        <v>3450</v>
      </c>
      <c r="F107" s="142">
        <v>2650</v>
      </c>
      <c r="G107" s="142" t="str">
        <f t="shared" si="1"/>
        <v>PD</v>
      </c>
      <c r="H107" s="34"/>
      <c r="I107" s="135"/>
      <c r="J107" s="34"/>
    </row>
    <row r="108" spans="1:10" x14ac:dyDescent="0.3">
      <c r="A108" s="129" t="s">
        <v>238</v>
      </c>
      <c r="B108" s="16" t="s">
        <v>31</v>
      </c>
      <c r="C108" s="1" t="str">
        <f t="shared" si="0"/>
        <v>INTECHMOTIONLaredo</v>
      </c>
      <c r="D108" s="141">
        <v>3150</v>
      </c>
      <c r="E108" s="142">
        <v>2750</v>
      </c>
      <c r="F108" s="142">
        <v>2350</v>
      </c>
      <c r="G108" s="142" t="str">
        <f t="shared" si="1"/>
        <v>PD</v>
      </c>
      <c r="H108" s="34"/>
      <c r="I108" s="135"/>
      <c r="J108" s="34"/>
    </row>
    <row r="109" spans="1:10" x14ac:dyDescent="0.3">
      <c r="A109" s="129" t="s">
        <v>238</v>
      </c>
      <c r="B109" s="16" t="s">
        <v>35</v>
      </c>
      <c r="C109" s="1" t="str">
        <f t="shared" si="0"/>
        <v>INTECHMOTIONSan Diego</v>
      </c>
      <c r="D109" s="141">
        <v>4850</v>
      </c>
      <c r="E109" s="141">
        <v>4700</v>
      </c>
      <c r="F109" s="141">
        <v>3750</v>
      </c>
      <c r="G109" s="142" t="str">
        <f t="shared" si="1"/>
        <v>PD</v>
      </c>
      <c r="H109" s="34"/>
      <c r="I109" s="135"/>
      <c r="J109" s="34"/>
    </row>
    <row r="110" spans="1:10" ht="15" thickBot="1" x14ac:dyDescent="0.35">
      <c r="A110" s="173" t="s">
        <v>238</v>
      </c>
      <c r="B110" s="157" t="s">
        <v>33</v>
      </c>
      <c r="C110" s="158" t="str">
        <f t="shared" si="0"/>
        <v>INTECHMOTIONNogales</v>
      </c>
      <c r="D110" s="174">
        <v>4850</v>
      </c>
      <c r="E110" s="159">
        <v>4700</v>
      </c>
      <c r="F110" s="174">
        <v>3750</v>
      </c>
      <c r="G110" s="142" t="str">
        <f t="shared" si="1"/>
        <v>PD</v>
      </c>
      <c r="H110" s="34"/>
      <c r="I110" s="135"/>
      <c r="J110" s="34"/>
    </row>
    <row r="111" spans="1:10" x14ac:dyDescent="0.3">
      <c r="A111" s="160" t="s">
        <v>237</v>
      </c>
      <c r="B111" s="161" t="s">
        <v>29</v>
      </c>
      <c r="C111" s="162" t="str">
        <f t="shared" si="0"/>
        <v>MIREl Paso</v>
      </c>
      <c r="D111" s="175">
        <f>D156</f>
        <v>3250</v>
      </c>
      <c r="E111" s="175">
        <f t="shared" ref="E111:F111" si="2">E156</f>
        <v>2650</v>
      </c>
      <c r="F111" s="175">
        <f t="shared" si="2"/>
        <v>1950</v>
      </c>
      <c r="G111" s="164">
        <v>250</v>
      </c>
      <c r="H111" s="34"/>
      <c r="I111" s="135"/>
      <c r="J111" s="34"/>
    </row>
    <row r="112" spans="1:10" x14ac:dyDescent="0.3">
      <c r="A112" s="165" t="s">
        <v>237</v>
      </c>
      <c r="B112" s="16" t="s">
        <v>31</v>
      </c>
      <c r="C112" s="1" t="str">
        <f t="shared" si="0"/>
        <v>MIRLaredo</v>
      </c>
      <c r="D112" s="142">
        <f t="shared" ref="D112:F112" si="3">D157</f>
        <v>3250</v>
      </c>
      <c r="E112" s="142">
        <f t="shared" si="3"/>
        <v>2650</v>
      </c>
      <c r="F112" s="142">
        <f t="shared" si="3"/>
        <v>1950</v>
      </c>
      <c r="G112" s="166">
        <v>250</v>
      </c>
      <c r="H112" s="34"/>
      <c r="I112" s="135"/>
      <c r="J112" s="34"/>
    </row>
    <row r="113" spans="1:10" x14ac:dyDescent="0.3">
      <c r="A113" s="165" t="s">
        <v>237</v>
      </c>
      <c r="B113" s="16" t="s">
        <v>35</v>
      </c>
      <c r="C113" s="1" t="str">
        <f t="shared" si="0"/>
        <v>MIRSan Diego</v>
      </c>
      <c r="D113" s="142">
        <f t="shared" ref="D113:F113" si="4">D158</f>
        <v>3250</v>
      </c>
      <c r="E113" s="142">
        <f t="shared" si="4"/>
        <v>2650</v>
      </c>
      <c r="F113" s="142">
        <f t="shared" si="4"/>
        <v>1950</v>
      </c>
      <c r="G113" s="166">
        <v>250</v>
      </c>
      <c r="H113" s="34"/>
      <c r="I113" s="135"/>
      <c r="J113" s="34"/>
    </row>
    <row r="114" spans="1:10" x14ac:dyDescent="0.3">
      <c r="A114" s="165" t="s">
        <v>237</v>
      </c>
      <c r="B114" s="16" t="s">
        <v>33</v>
      </c>
      <c r="C114" s="1" t="str">
        <f t="shared" si="0"/>
        <v>MIRNogales</v>
      </c>
      <c r="D114" s="142">
        <f t="shared" ref="D114:F114" si="5">D159</f>
        <v>3250</v>
      </c>
      <c r="E114" s="142">
        <f t="shared" si="5"/>
        <v>2650</v>
      </c>
      <c r="F114" s="142">
        <f t="shared" si="5"/>
        <v>1950</v>
      </c>
      <c r="G114" s="166">
        <v>250</v>
      </c>
      <c r="H114" s="34"/>
      <c r="I114" s="135"/>
      <c r="J114" s="34"/>
    </row>
    <row r="115" spans="1:10" x14ac:dyDescent="0.3">
      <c r="A115" s="165" t="s">
        <v>237</v>
      </c>
      <c r="B115" s="16" t="s">
        <v>28</v>
      </c>
      <c r="C115" s="1" t="str">
        <f t="shared" si="0"/>
        <v>MIRMonterrey</v>
      </c>
      <c r="D115" s="142">
        <f t="shared" ref="D115:F115" si="6">D160</f>
        <v>3250</v>
      </c>
      <c r="E115" s="142">
        <f t="shared" si="6"/>
        <v>2650</v>
      </c>
      <c r="F115" s="142">
        <f t="shared" si="6"/>
        <v>1950</v>
      </c>
      <c r="G115" s="166">
        <v>250</v>
      </c>
      <c r="H115" s="34"/>
      <c r="I115" s="135"/>
      <c r="J115" s="34"/>
    </row>
    <row r="116" spans="1:10" x14ac:dyDescent="0.3">
      <c r="A116" s="165" t="s">
        <v>237</v>
      </c>
      <c r="B116" s="16" t="s">
        <v>38</v>
      </c>
      <c r="C116" s="1" t="str">
        <f t="shared" si="0"/>
        <v>MIRAICM</v>
      </c>
      <c r="D116" s="142">
        <f t="shared" ref="D116:F116" si="7">D161</f>
        <v>3250</v>
      </c>
      <c r="E116" s="142">
        <f t="shared" si="7"/>
        <v>2650</v>
      </c>
      <c r="F116" s="142">
        <f t="shared" si="7"/>
        <v>1950</v>
      </c>
      <c r="G116" s="166">
        <v>250</v>
      </c>
      <c r="H116" s="34"/>
      <c r="I116" s="135"/>
      <c r="J116" s="34"/>
    </row>
    <row r="117" spans="1:10" x14ac:dyDescent="0.3">
      <c r="A117" s="165" t="s">
        <v>237</v>
      </c>
      <c r="B117" s="16" t="s">
        <v>23</v>
      </c>
      <c r="C117" s="1" t="str">
        <f t="shared" si="0"/>
        <v>MIRCd. Juarez</v>
      </c>
      <c r="D117" s="142">
        <f t="shared" ref="D117:F117" si="8">D162</f>
        <v>3250</v>
      </c>
      <c r="E117" s="142">
        <f t="shared" si="8"/>
        <v>2650</v>
      </c>
      <c r="F117" s="142">
        <f t="shared" si="8"/>
        <v>1950</v>
      </c>
      <c r="G117" s="166">
        <v>250</v>
      </c>
      <c r="H117" s="34"/>
      <c r="I117" s="135"/>
      <c r="J117" s="34"/>
    </row>
    <row r="118" spans="1:10" ht="15" thickBot="1" x14ac:dyDescent="0.35">
      <c r="A118" s="176" t="s">
        <v>237</v>
      </c>
      <c r="B118" s="169" t="s">
        <v>32</v>
      </c>
      <c r="C118" s="170" t="str">
        <f t="shared" si="0"/>
        <v>MIRTijuana</v>
      </c>
      <c r="D118" s="177">
        <f t="shared" ref="D118:F118" si="9">D163</f>
        <v>3250</v>
      </c>
      <c r="E118" s="177">
        <f t="shared" si="9"/>
        <v>2650</v>
      </c>
      <c r="F118" s="177">
        <f t="shared" si="9"/>
        <v>1950</v>
      </c>
      <c r="G118" s="172">
        <v>250</v>
      </c>
      <c r="H118" s="34"/>
      <c r="I118" s="135"/>
      <c r="J118" s="34"/>
    </row>
    <row r="119" spans="1:10" x14ac:dyDescent="0.3">
      <c r="A119" s="185" t="s">
        <v>20</v>
      </c>
      <c r="B119" s="30" t="s">
        <v>29</v>
      </c>
      <c r="C119" s="186" t="str">
        <f t="shared" si="0"/>
        <v>UREl Paso</v>
      </c>
      <c r="D119" s="184">
        <f>D167</f>
        <v>6586</v>
      </c>
      <c r="E119" s="184">
        <f>E167</f>
        <v>2764</v>
      </c>
      <c r="F119" s="184">
        <f>E119</f>
        <v>2764</v>
      </c>
      <c r="G119" s="187">
        <v>250</v>
      </c>
      <c r="H119" s="34"/>
      <c r="I119" s="135"/>
      <c r="J119" s="34"/>
    </row>
    <row r="120" spans="1:10" x14ac:dyDescent="0.3">
      <c r="A120" s="165" t="s">
        <v>20</v>
      </c>
      <c r="B120" s="16" t="s">
        <v>31</v>
      </c>
      <c r="C120" s="1" t="str">
        <f t="shared" si="0"/>
        <v>URLaredo</v>
      </c>
      <c r="D120" s="184">
        <f t="shared" ref="D120:E120" si="10">D168</f>
        <v>6586</v>
      </c>
      <c r="E120" s="184">
        <f t="shared" si="10"/>
        <v>2764</v>
      </c>
      <c r="F120" s="184">
        <f t="shared" ref="F120:F126" si="11">E120</f>
        <v>2764</v>
      </c>
      <c r="G120" s="166">
        <v>250</v>
      </c>
      <c r="H120" s="34"/>
      <c r="I120" s="135"/>
      <c r="J120" s="34"/>
    </row>
    <row r="121" spans="1:10" x14ac:dyDescent="0.3">
      <c r="A121" s="167" t="s">
        <v>20</v>
      </c>
      <c r="B121" s="16" t="s">
        <v>35</v>
      </c>
      <c r="C121" s="1" t="str">
        <f t="shared" si="0"/>
        <v>URSan Diego</v>
      </c>
      <c r="D121" s="184">
        <f t="shared" ref="D121:E121" si="12">D169</f>
        <v>6586</v>
      </c>
      <c r="E121" s="184">
        <f t="shared" si="12"/>
        <v>2764</v>
      </c>
      <c r="F121" s="184">
        <f t="shared" si="11"/>
        <v>2764</v>
      </c>
      <c r="G121" s="166">
        <v>250</v>
      </c>
      <c r="H121" s="34"/>
      <c r="I121" s="135"/>
      <c r="J121" s="34"/>
    </row>
    <row r="122" spans="1:10" x14ac:dyDescent="0.3">
      <c r="A122" s="165" t="s">
        <v>20</v>
      </c>
      <c r="B122" s="16" t="s">
        <v>33</v>
      </c>
      <c r="C122" s="1" t="str">
        <f t="shared" si="0"/>
        <v>URNogales</v>
      </c>
      <c r="D122" s="184">
        <f t="shared" ref="D122:E122" si="13">D170</f>
        <v>6586</v>
      </c>
      <c r="E122" s="184">
        <f t="shared" si="13"/>
        <v>2764</v>
      </c>
      <c r="F122" s="184">
        <f t="shared" si="11"/>
        <v>2764</v>
      </c>
      <c r="G122" s="166">
        <v>250</v>
      </c>
      <c r="H122" s="34"/>
      <c r="I122" s="135"/>
      <c r="J122" s="34"/>
    </row>
    <row r="123" spans="1:10" x14ac:dyDescent="0.3">
      <c r="A123" s="165" t="s">
        <v>20</v>
      </c>
      <c r="B123" s="16" t="s">
        <v>28</v>
      </c>
      <c r="C123" s="1" t="str">
        <f t="shared" si="0"/>
        <v>URMonterrey</v>
      </c>
      <c r="D123" s="184">
        <f t="shared" ref="D123:E123" si="14">D171</f>
        <v>6586</v>
      </c>
      <c r="E123" s="184">
        <f t="shared" si="14"/>
        <v>2764</v>
      </c>
      <c r="F123" s="184">
        <f t="shared" si="11"/>
        <v>2764</v>
      </c>
      <c r="G123" s="166">
        <v>250</v>
      </c>
      <c r="H123" s="34"/>
      <c r="I123" s="135"/>
      <c r="J123" s="34"/>
    </row>
    <row r="124" spans="1:10" x14ac:dyDescent="0.3">
      <c r="A124" s="165" t="s">
        <v>20</v>
      </c>
      <c r="B124" s="16" t="s">
        <v>38</v>
      </c>
      <c r="C124" s="1" t="str">
        <f t="shared" si="0"/>
        <v>URAICM</v>
      </c>
      <c r="D124" s="184">
        <f t="shared" ref="D124:E124" si="15">D172</f>
        <v>6586</v>
      </c>
      <c r="E124" s="184">
        <f t="shared" si="15"/>
        <v>2764</v>
      </c>
      <c r="F124" s="184">
        <f t="shared" si="11"/>
        <v>2764</v>
      </c>
      <c r="G124" s="166">
        <v>250</v>
      </c>
      <c r="H124" s="34"/>
      <c r="I124" s="135"/>
      <c r="J124" s="34"/>
    </row>
    <row r="125" spans="1:10" x14ac:dyDescent="0.3">
      <c r="A125" s="165" t="s">
        <v>20</v>
      </c>
      <c r="B125" s="16" t="s">
        <v>23</v>
      </c>
      <c r="C125" s="1" t="str">
        <f t="shared" si="0"/>
        <v>URCd. Juarez</v>
      </c>
      <c r="D125" s="184">
        <f t="shared" ref="D125:E125" si="16">D173</f>
        <v>6586</v>
      </c>
      <c r="E125" s="184">
        <f t="shared" si="16"/>
        <v>2764</v>
      </c>
      <c r="F125" s="184">
        <f t="shared" si="11"/>
        <v>2764</v>
      </c>
      <c r="G125" s="166">
        <v>250</v>
      </c>
      <c r="H125" s="34"/>
      <c r="I125" s="135"/>
      <c r="J125" s="34"/>
    </row>
    <row r="126" spans="1:10" ht="15" thickBot="1" x14ac:dyDescent="0.35">
      <c r="A126" s="168" t="s">
        <v>20</v>
      </c>
      <c r="B126" s="169" t="s">
        <v>32</v>
      </c>
      <c r="C126" s="170" t="str">
        <f t="shared" si="0"/>
        <v>URTijuana</v>
      </c>
      <c r="D126" s="184">
        <f t="shared" ref="D126:E126" si="17">D174</f>
        <v>6586</v>
      </c>
      <c r="E126" s="184">
        <f t="shared" si="17"/>
        <v>2764</v>
      </c>
      <c r="F126" s="184">
        <f t="shared" si="11"/>
        <v>2764</v>
      </c>
      <c r="G126" s="172">
        <v>250</v>
      </c>
      <c r="H126" s="34"/>
      <c r="I126" s="135"/>
      <c r="J126" s="34"/>
    </row>
    <row r="127" spans="1:10" x14ac:dyDescent="0.3">
      <c r="A127" s="178" t="s">
        <v>96</v>
      </c>
      <c r="B127" s="161" t="s">
        <v>40</v>
      </c>
      <c r="C127" s="162" t="str">
        <f t="shared" si="0"/>
        <v>QIMAROXAltamira</v>
      </c>
      <c r="D127" s="163">
        <f t="shared" ref="D127:F128" si="18">D197</f>
        <v>0</v>
      </c>
      <c r="E127" s="163">
        <f t="shared" si="18"/>
        <v>0</v>
      </c>
      <c r="F127" s="163">
        <f t="shared" si="18"/>
        <v>0</v>
      </c>
      <c r="G127" s="179" t="s">
        <v>169</v>
      </c>
      <c r="H127" s="34"/>
      <c r="I127" s="135"/>
      <c r="J127" s="34"/>
    </row>
    <row r="128" spans="1:10" x14ac:dyDescent="0.3">
      <c r="A128" s="167" t="s">
        <v>96</v>
      </c>
      <c r="B128" s="16" t="s">
        <v>41</v>
      </c>
      <c r="C128" s="1" t="str">
        <f t="shared" si="0"/>
        <v>QIMAROXManzanillo</v>
      </c>
      <c r="D128" s="141">
        <f t="shared" si="18"/>
        <v>0</v>
      </c>
      <c r="E128" s="141">
        <f t="shared" si="18"/>
        <v>0</v>
      </c>
      <c r="F128" s="141">
        <f t="shared" si="18"/>
        <v>0</v>
      </c>
      <c r="G128" s="180" t="s">
        <v>169</v>
      </c>
      <c r="H128" s="34"/>
      <c r="I128" s="135"/>
      <c r="J128" s="34"/>
    </row>
    <row r="129" spans="1:13" x14ac:dyDescent="0.3">
      <c r="A129" s="167" t="s">
        <v>96</v>
      </c>
      <c r="B129" s="16" t="s">
        <v>29</v>
      </c>
      <c r="C129" s="1" t="str">
        <f t="shared" si="0"/>
        <v>QIMAROXEl Paso</v>
      </c>
      <c r="D129" s="141" t="s">
        <v>169</v>
      </c>
      <c r="E129" s="141" t="s">
        <v>169</v>
      </c>
      <c r="F129" s="141" t="s">
        <v>169</v>
      </c>
      <c r="G129" s="166">
        <v>250</v>
      </c>
      <c r="H129" s="34"/>
      <c r="I129" s="135"/>
      <c r="J129" s="34"/>
    </row>
    <row r="130" spans="1:13" x14ac:dyDescent="0.3">
      <c r="A130" s="167" t="s">
        <v>96</v>
      </c>
      <c r="B130" s="16" t="s">
        <v>31</v>
      </c>
      <c r="C130" s="1" t="str">
        <f t="shared" si="0"/>
        <v>QIMAROXLaredo</v>
      </c>
      <c r="D130" s="141" t="s">
        <v>169</v>
      </c>
      <c r="E130" s="141" t="s">
        <v>169</v>
      </c>
      <c r="F130" s="141" t="s">
        <v>169</v>
      </c>
      <c r="G130" s="166">
        <v>250</v>
      </c>
      <c r="H130" s="34"/>
      <c r="I130" s="135"/>
      <c r="J130" s="34"/>
    </row>
    <row r="131" spans="1:13" x14ac:dyDescent="0.3">
      <c r="A131" s="167" t="s">
        <v>96</v>
      </c>
      <c r="B131" s="16" t="s">
        <v>35</v>
      </c>
      <c r="C131" s="1" t="str">
        <f t="shared" si="0"/>
        <v>QIMAROXSan Diego</v>
      </c>
      <c r="D131" s="141" t="s">
        <v>169</v>
      </c>
      <c r="E131" s="141" t="s">
        <v>169</v>
      </c>
      <c r="F131" s="141" t="s">
        <v>169</v>
      </c>
      <c r="G131" s="166">
        <v>250</v>
      </c>
      <c r="H131" s="34"/>
      <c r="I131" s="135"/>
      <c r="J131" s="34"/>
    </row>
    <row r="132" spans="1:13" ht="15" thickBot="1" x14ac:dyDescent="0.35">
      <c r="A132" s="168" t="s">
        <v>96</v>
      </c>
      <c r="B132" s="169" t="s">
        <v>33</v>
      </c>
      <c r="C132" s="170" t="str">
        <f t="shared" si="0"/>
        <v>QIMAROXNogales</v>
      </c>
      <c r="D132" s="171" t="s">
        <v>169</v>
      </c>
      <c r="E132" s="171" t="s">
        <v>169</v>
      </c>
      <c r="F132" s="171" t="s">
        <v>169</v>
      </c>
      <c r="G132" s="172">
        <v>250</v>
      </c>
      <c r="H132" s="34"/>
      <c r="I132" s="135"/>
      <c r="J132" s="34"/>
    </row>
    <row r="133" spans="1:13" x14ac:dyDescent="0.3">
      <c r="F133" s="34"/>
      <c r="G133" s="34"/>
      <c r="H133" s="34"/>
      <c r="I133" s="135"/>
      <c r="J133" s="34"/>
    </row>
    <row r="134" spans="1:13" ht="15" thickBot="1" x14ac:dyDescent="0.35">
      <c r="F134" s="34"/>
      <c r="G134" s="34"/>
      <c r="H134" s="34"/>
      <c r="I134" s="135"/>
      <c r="J134" s="34"/>
    </row>
    <row r="135" spans="1:13" ht="15" thickBot="1" x14ac:dyDescent="0.35">
      <c r="A135" s="432" t="s">
        <v>232</v>
      </c>
      <c r="B135" s="433"/>
      <c r="C135" s="433"/>
      <c r="D135" s="433"/>
      <c r="E135" s="433"/>
      <c r="F135" s="433"/>
      <c r="G135" s="433"/>
      <c r="H135" s="433"/>
      <c r="I135" s="434"/>
      <c r="J135" s="34"/>
      <c r="K135" s="34"/>
      <c r="L135" s="34"/>
      <c r="M135" s="34"/>
    </row>
    <row r="136" spans="1:13" x14ac:dyDescent="0.3">
      <c r="A136" s="137" t="s">
        <v>5</v>
      </c>
      <c r="B136" s="137" t="s">
        <v>256</v>
      </c>
      <c r="C136" s="137" t="s">
        <v>244</v>
      </c>
      <c r="D136" s="151" t="s">
        <v>362</v>
      </c>
      <c r="E136" s="151" t="s">
        <v>101</v>
      </c>
      <c r="F136" s="151" t="s">
        <v>102</v>
      </c>
      <c r="G136" s="151" t="s">
        <v>103</v>
      </c>
      <c r="H136" s="151" t="s">
        <v>104</v>
      </c>
      <c r="I136" s="151" t="s">
        <v>105</v>
      </c>
      <c r="J136" s="34"/>
      <c r="K136" s="34"/>
      <c r="L136" s="34"/>
      <c r="M136" s="34"/>
    </row>
    <row r="137" spans="1:13" x14ac:dyDescent="0.3">
      <c r="A137" s="17" t="s">
        <v>4</v>
      </c>
      <c r="B137" s="16" t="s">
        <v>29</v>
      </c>
      <c r="C137" s="1" t="str">
        <f t="shared" ref="C137:C152" si="19">CONCATENATE(A137,B137,)</f>
        <v>HYTROLEl Paso</v>
      </c>
      <c r="D137" s="139">
        <v>230.99999999999997</v>
      </c>
      <c r="E137" s="139">
        <v>1.0779999999999998</v>
      </c>
      <c r="F137" s="140">
        <v>0.93799999999999994</v>
      </c>
      <c r="G137" s="140">
        <v>0.75600000000000001</v>
      </c>
      <c r="H137" s="140">
        <v>0.57399999999999995</v>
      </c>
      <c r="I137" s="140">
        <v>0.504</v>
      </c>
      <c r="J137" s="34"/>
      <c r="K137" s="34"/>
      <c r="L137" s="34"/>
      <c r="M137" s="34"/>
    </row>
    <row r="138" spans="1:13" x14ac:dyDescent="0.3">
      <c r="A138" s="17" t="s">
        <v>4</v>
      </c>
      <c r="B138" s="16" t="s">
        <v>31</v>
      </c>
      <c r="C138" s="1" t="str">
        <f t="shared" si="19"/>
        <v>HYTROLLaredo</v>
      </c>
      <c r="D138" s="139">
        <v>230.99999999999997</v>
      </c>
      <c r="E138" s="139">
        <v>1.022</v>
      </c>
      <c r="F138" s="140">
        <v>0.8819999999999999</v>
      </c>
      <c r="G138" s="140">
        <v>0.7</v>
      </c>
      <c r="H138" s="140">
        <v>0.51800000000000002</v>
      </c>
      <c r="I138" s="140">
        <v>0.46199999999999997</v>
      </c>
      <c r="J138" s="34"/>
      <c r="K138" s="34"/>
      <c r="L138" s="34"/>
      <c r="M138" s="34"/>
    </row>
    <row r="139" spans="1:13" x14ac:dyDescent="0.3">
      <c r="A139" s="17" t="s">
        <v>4</v>
      </c>
      <c r="B139" s="16" t="s">
        <v>35</v>
      </c>
      <c r="C139" s="1" t="str">
        <f t="shared" si="19"/>
        <v>HYTROLSan Diego</v>
      </c>
      <c r="D139" s="139">
        <v>244.99999999999997</v>
      </c>
      <c r="E139" s="139">
        <v>1.3299999999999998</v>
      </c>
      <c r="F139" s="140">
        <v>1.19</v>
      </c>
      <c r="G139" s="140">
        <v>1.022</v>
      </c>
      <c r="H139" s="140">
        <v>0.77</v>
      </c>
      <c r="I139" s="140">
        <v>0.7</v>
      </c>
      <c r="J139" s="34"/>
      <c r="K139" s="34"/>
      <c r="L139" s="34"/>
      <c r="M139" s="34"/>
    </row>
    <row r="140" spans="1:13" x14ac:dyDescent="0.3">
      <c r="A140" s="17" t="s">
        <v>4</v>
      </c>
      <c r="B140" s="16" t="s">
        <v>33</v>
      </c>
      <c r="C140" s="1" t="str">
        <f t="shared" si="19"/>
        <v>HYTROLNogales</v>
      </c>
      <c r="D140" s="139">
        <v>244.99999999999997</v>
      </c>
      <c r="E140" s="139">
        <v>1.3299999999999998</v>
      </c>
      <c r="F140" s="140">
        <v>1.19</v>
      </c>
      <c r="G140" s="140">
        <v>1.022</v>
      </c>
      <c r="H140" s="140">
        <v>0.77</v>
      </c>
      <c r="I140" s="140">
        <v>0.7</v>
      </c>
      <c r="J140" s="34"/>
      <c r="K140" s="34"/>
      <c r="L140" s="34"/>
      <c r="M140" s="34"/>
    </row>
    <row r="141" spans="1:13" x14ac:dyDescent="0.3">
      <c r="A141" s="17" t="s">
        <v>69</v>
      </c>
      <c r="B141" s="16" t="s">
        <v>29</v>
      </c>
      <c r="C141" s="1" t="str">
        <f t="shared" si="19"/>
        <v>SOUTHWORTHEl Paso</v>
      </c>
      <c r="D141" s="139">
        <v>230.99999999999997</v>
      </c>
      <c r="E141" s="139">
        <v>1.0779999999999998</v>
      </c>
      <c r="F141" s="140">
        <v>0.93799999999999994</v>
      </c>
      <c r="G141" s="140">
        <v>0.75600000000000001</v>
      </c>
      <c r="H141" s="140">
        <v>0.57399999999999995</v>
      </c>
      <c r="I141" s="140">
        <v>0.504</v>
      </c>
      <c r="J141" s="34"/>
      <c r="K141" s="34"/>
      <c r="L141" s="34"/>
      <c r="M141" s="34"/>
    </row>
    <row r="142" spans="1:13" x14ac:dyDescent="0.3">
      <c r="A142" s="17" t="s">
        <v>69</v>
      </c>
      <c r="B142" s="16" t="s">
        <v>31</v>
      </c>
      <c r="C142" s="1" t="str">
        <f t="shared" si="19"/>
        <v>SOUTHWORTHLaredo</v>
      </c>
      <c r="D142" s="139">
        <v>230.99999999999997</v>
      </c>
      <c r="E142" s="139">
        <v>1.022</v>
      </c>
      <c r="F142" s="140">
        <v>0.8819999999999999</v>
      </c>
      <c r="G142" s="140">
        <v>0.7</v>
      </c>
      <c r="H142" s="140">
        <v>0.51800000000000002</v>
      </c>
      <c r="I142" s="140">
        <v>0.46199999999999997</v>
      </c>
      <c r="J142" s="34"/>
      <c r="K142" s="34"/>
      <c r="L142" s="34"/>
      <c r="M142" s="34"/>
    </row>
    <row r="143" spans="1:13" x14ac:dyDescent="0.3">
      <c r="A143" s="17" t="s">
        <v>69</v>
      </c>
      <c r="B143" s="16" t="s">
        <v>35</v>
      </c>
      <c r="C143" s="1" t="str">
        <f t="shared" si="19"/>
        <v>SOUTHWORTHSan Diego</v>
      </c>
      <c r="D143" s="139">
        <v>244.99999999999997</v>
      </c>
      <c r="E143" s="139">
        <v>1.3299999999999998</v>
      </c>
      <c r="F143" s="140">
        <v>1.19</v>
      </c>
      <c r="G143" s="140">
        <v>1.022</v>
      </c>
      <c r="H143" s="140">
        <v>0.77</v>
      </c>
      <c r="I143" s="140">
        <v>0.7</v>
      </c>
      <c r="J143" s="34"/>
      <c r="K143" s="34"/>
      <c r="L143" s="34"/>
      <c r="M143" s="34"/>
    </row>
    <row r="144" spans="1:13" x14ac:dyDescent="0.3">
      <c r="A144" s="17" t="s">
        <v>69</v>
      </c>
      <c r="B144" s="16" t="s">
        <v>33</v>
      </c>
      <c r="C144" s="1" t="str">
        <f t="shared" si="19"/>
        <v>SOUTHWORTHNogales</v>
      </c>
      <c r="D144" s="139">
        <v>244.99999999999997</v>
      </c>
      <c r="E144" s="139">
        <v>1.3299999999999998</v>
      </c>
      <c r="F144" s="140">
        <v>1.19</v>
      </c>
      <c r="G144" s="140">
        <v>1.022</v>
      </c>
      <c r="H144" s="140">
        <v>0.77</v>
      </c>
      <c r="I144" s="140">
        <v>0.7</v>
      </c>
      <c r="J144" s="34"/>
      <c r="K144" s="34"/>
      <c r="L144" s="34"/>
      <c r="M144" s="34"/>
    </row>
    <row r="145" spans="1:13" x14ac:dyDescent="0.3">
      <c r="A145" s="129" t="s">
        <v>50</v>
      </c>
      <c r="B145" s="16" t="s">
        <v>29</v>
      </c>
      <c r="C145" s="1" t="str">
        <f t="shared" si="19"/>
        <v>DORNEREl Paso</v>
      </c>
      <c r="D145" s="139">
        <v>277.2</v>
      </c>
      <c r="E145" s="139">
        <v>1.2935999999999999</v>
      </c>
      <c r="F145" s="140">
        <v>1.1255999999999999</v>
      </c>
      <c r="G145" s="140">
        <v>0.90720000000000001</v>
      </c>
      <c r="H145" s="140">
        <v>0.68879999999999986</v>
      </c>
      <c r="I145" s="140">
        <v>0.6048</v>
      </c>
      <c r="J145" s="34"/>
      <c r="K145" s="34"/>
      <c r="L145" s="34"/>
      <c r="M145" s="34"/>
    </row>
    <row r="146" spans="1:13" x14ac:dyDescent="0.3">
      <c r="A146" s="129" t="s">
        <v>50</v>
      </c>
      <c r="B146" s="16" t="s">
        <v>31</v>
      </c>
      <c r="C146" s="1" t="str">
        <f t="shared" si="19"/>
        <v>DORNERLaredo</v>
      </c>
      <c r="D146" s="139">
        <v>277.2</v>
      </c>
      <c r="E146" s="139">
        <v>1.2263999999999999</v>
      </c>
      <c r="F146" s="140">
        <v>1.0584</v>
      </c>
      <c r="G146" s="140">
        <v>0.84</v>
      </c>
      <c r="H146" s="140">
        <v>0.62159999999999993</v>
      </c>
      <c r="I146" s="140">
        <v>0.5544</v>
      </c>
      <c r="J146" s="34"/>
      <c r="K146" s="34"/>
      <c r="L146" s="34"/>
      <c r="M146" s="34"/>
    </row>
    <row r="147" spans="1:13" x14ac:dyDescent="0.3">
      <c r="A147" s="129" t="s">
        <v>50</v>
      </c>
      <c r="B147" s="16" t="s">
        <v>35</v>
      </c>
      <c r="C147" s="1" t="str">
        <f t="shared" si="19"/>
        <v>DORNERSan Diego</v>
      </c>
      <c r="D147" s="139">
        <v>294</v>
      </c>
      <c r="E147" s="139">
        <v>1.5959999999999999</v>
      </c>
      <c r="F147" s="140">
        <v>1.4279999999999999</v>
      </c>
      <c r="G147" s="140">
        <v>1.2263999999999999</v>
      </c>
      <c r="H147" s="140">
        <v>0.92399999999999993</v>
      </c>
      <c r="I147" s="140">
        <v>0.84</v>
      </c>
      <c r="J147" s="34"/>
      <c r="K147" s="34"/>
      <c r="L147" s="34"/>
      <c r="M147" s="34"/>
    </row>
    <row r="148" spans="1:13" x14ac:dyDescent="0.3">
      <c r="A148" s="129" t="s">
        <v>50</v>
      </c>
      <c r="B148" s="16" t="s">
        <v>33</v>
      </c>
      <c r="C148" s="1" t="str">
        <f t="shared" si="19"/>
        <v>DORNERNogales</v>
      </c>
      <c r="D148" s="139">
        <v>294</v>
      </c>
      <c r="E148" s="139">
        <v>1.5959999999999999</v>
      </c>
      <c r="F148" s="140">
        <v>1.4279999999999999</v>
      </c>
      <c r="G148" s="140">
        <v>1.2263999999999999</v>
      </c>
      <c r="H148" s="140">
        <v>0.92399999999999993</v>
      </c>
      <c r="I148" s="140">
        <v>0.84</v>
      </c>
      <c r="J148" s="34"/>
      <c r="K148" s="34"/>
      <c r="L148" s="34"/>
      <c r="M148" s="34"/>
    </row>
    <row r="149" spans="1:13" x14ac:dyDescent="0.3">
      <c r="A149" s="129" t="s">
        <v>238</v>
      </c>
      <c r="B149" s="16" t="s">
        <v>29</v>
      </c>
      <c r="C149" s="1" t="str">
        <f t="shared" si="19"/>
        <v>INTECHMOTIONEl Paso</v>
      </c>
      <c r="D149" s="139">
        <v>277.2</v>
      </c>
      <c r="E149" s="139">
        <v>1.2935999999999999</v>
      </c>
      <c r="F149" s="140">
        <v>1.1255999999999999</v>
      </c>
      <c r="G149" s="140">
        <v>0.90720000000000001</v>
      </c>
      <c r="H149" s="140">
        <v>0.68879999999999986</v>
      </c>
      <c r="I149" s="140">
        <v>0.6048</v>
      </c>
      <c r="J149" s="34"/>
      <c r="K149" s="34"/>
      <c r="L149" s="34"/>
      <c r="M149" s="34"/>
    </row>
    <row r="150" spans="1:13" x14ac:dyDescent="0.3">
      <c r="A150" s="129" t="s">
        <v>238</v>
      </c>
      <c r="B150" s="16" t="s">
        <v>31</v>
      </c>
      <c r="C150" s="1" t="str">
        <f t="shared" si="19"/>
        <v>INTECHMOTIONLaredo</v>
      </c>
      <c r="D150" s="139">
        <v>277.2</v>
      </c>
      <c r="E150" s="139">
        <v>1.2263999999999999</v>
      </c>
      <c r="F150" s="140">
        <v>1.0584</v>
      </c>
      <c r="G150" s="140">
        <v>0.84</v>
      </c>
      <c r="H150" s="140">
        <v>0.62159999999999993</v>
      </c>
      <c r="I150" s="140">
        <v>0.5544</v>
      </c>
      <c r="J150" s="34"/>
      <c r="K150" s="34"/>
      <c r="L150" s="34"/>
      <c r="M150" s="34"/>
    </row>
    <row r="151" spans="1:13" x14ac:dyDescent="0.3">
      <c r="A151" s="129" t="s">
        <v>238</v>
      </c>
      <c r="B151" s="16" t="s">
        <v>35</v>
      </c>
      <c r="C151" s="1" t="str">
        <f t="shared" si="19"/>
        <v>INTECHMOTIONSan Diego</v>
      </c>
      <c r="D151" s="139">
        <v>294</v>
      </c>
      <c r="E151" s="139">
        <v>1.5959999999999999</v>
      </c>
      <c r="F151" s="140">
        <v>1.4279999999999999</v>
      </c>
      <c r="G151" s="140">
        <v>1.2263999999999999</v>
      </c>
      <c r="H151" s="140">
        <v>0.92399999999999993</v>
      </c>
      <c r="I151" s="140">
        <v>0.84</v>
      </c>
      <c r="J151" s="34"/>
      <c r="K151" s="34"/>
      <c r="L151" s="34"/>
      <c r="M151" s="34"/>
    </row>
    <row r="152" spans="1:13" x14ac:dyDescent="0.3">
      <c r="A152" s="129" t="s">
        <v>238</v>
      </c>
      <c r="B152" s="16" t="s">
        <v>33</v>
      </c>
      <c r="C152" s="1" t="str">
        <f t="shared" si="19"/>
        <v>INTECHMOTIONNogales</v>
      </c>
      <c r="D152" s="139">
        <v>294</v>
      </c>
      <c r="E152" s="139">
        <v>1.5959999999999999</v>
      </c>
      <c r="F152" s="140">
        <v>1.4279999999999999</v>
      </c>
      <c r="G152" s="140">
        <v>1.2263999999999999</v>
      </c>
      <c r="H152" s="140">
        <v>0.92399999999999993</v>
      </c>
      <c r="I152" s="140">
        <v>0.84</v>
      </c>
      <c r="J152" s="34"/>
      <c r="K152" s="34"/>
      <c r="L152" s="34"/>
      <c r="M152" s="34"/>
    </row>
    <row r="153" spans="1:13" x14ac:dyDescent="0.3">
      <c r="A153" s="152"/>
      <c r="B153" s="136"/>
      <c r="D153" s="153"/>
      <c r="E153" s="153"/>
      <c r="F153" s="154"/>
      <c r="G153" s="154"/>
      <c r="H153" s="154"/>
      <c r="I153" s="154"/>
      <c r="J153" s="34"/>
      <c r="K153" s="34"/>
      <c r="L153" s="34"/>
      <c r="M153" s="34"/>
    </row>
    <row r="154" spans="1:13" x14ac:dyDescent="0.3">
      <c r="A154" s="128" t="s">
        <v>5</v>
      </c>
      <c r="B154" s="128" t="s">
        <v>256</v>
      </c>
      <c r="C154" s="128" t="s">
        <v>244</v>
      </c>
      <c r="D154" s="128" t="s">
        <v>345</v>
      </c>
      <c r="E154" s="128" t="s">
        <v>344</v>
      </c>
      <c r="F154" s="128" t="s">
        <v>343</v>
      </c>
      <c r="G154" s="34"/>
      <c r="H154" s="34"/>
      <c r="I154" s="34"/>
      <c r="J154" s="34"/>
      <c r="K154" s="34"/>
      <c r="L154" s="34"/>
      <c r="M154" s="34"/>
    </row>
    <row r="155" spans="1:13" x14ac:dyDescent="0.3">
      <c r="A155" s="128" t="s">
        <v>5</v>
      </c>
      <c r="B155" s="128" t="s">
        <v>256</v>
      </c>
      <c r="C155" s="128" t="s">
        <v>244</v>
      </c>
      <c r="D155" s="138" t="s">
        <v>293</v>
      </c>
      <c r="E155" s="138" t="s">
        <v>292</v>
      </c>
      <c r="F155" s="138" t="s">
        <v>294</v>
      </c>
      <c r="G155" s="34"/>
      <c r="H155" s="34"/>
      <c r="I155" s="34"/>
      <c r="J155" s="34"/>
      <c r="K155" s="34"/>
      <c r="L155" s="34"/>
      <c r="M155" s="34"/>
    </row>
    <row r="156" spans="1:13" x14ac:dyDescent="0.3">
      <c r="A156" s="17" t="s">
        <v>237</v>
      </c>
      <c r="B156" s="16" t="s">
        <v>29</v>
      </c>
      <c r="C156" s="1" t="str">
        <f t="shared" ref="C156:C163" si="20">CONCATENATE(A156,B156,)</f>
        <v>MIREl Paso</v>
      </c>
      <c r="D156" s="139">
        <v>3250</v>
      </c>
      <c r="E156" s="139">
        <v>2650</v>
      </c>
      <c r="F156" s="140">
        <v>1950</v>
      </c>
      <c r="G156" s="34"/>
      <c r="H156" s="34"/>
      <c r="I156" s="34"/>
      <c r="J156" s="34"/>
      <c r="K156" s="34"/>
      <c r="L156" s="34"/>
      <c r="M156" s="34"/>
    </row>
    <row r="157" spans="1:13" x14ac:dyDescent="0.3">
      <c r="A157" s="17" t="s">
        <v>237</v>
      </c>
      <c r="B157" s="16" t="s">
        <v>31</v>
      </c>
      <c r="C157" s="1" t="str">
        <f t="shared" si="20"/>
        <v>MIRLaredo</v>
      </c>
      <c r="D157" s="139">
        <v>3250</v>
      </c>
      <c r="E157" s="139">
        <v>2650</v>
      </c>
      <c r="F157" s="140">
        <v>1950</v>
      </c>
      <c r="G157" s="34"/>
      <c r="H157" s="34"/>
      <c r="I157" s="34"/>
      <c r="J157" s="34"/>
      <c r="K157" s="34"/>
      <c r="L157" s="34"/>
      <c r="M157" s="34"/>
    </row>
    <row r="158" spans="1:13" x14ac:dyDescent="0.3">
      <c r="A158" s="17" t="s">
        <v>237</v>
      </c>
      <c r="B158" s="16" t="s">
        <v>35</v>
      </c>
      <c r="C158" s="1" t="str">
        <f t="shared" si="20"/>
        <v>MIRSan Diego</v>
      </c>
      <c r="D158" s="139">
        <v>3250</v>
      </c>
      <c r="E158" s="139">
        <v>2650</v>
      </c>
      <c r="F158" s="140">
        <v>1950</v>
      </c>
      <c r="G158" s="34"/>
      <c r="H158" s="34"/>
      <c r="I158" s="34"/>
      <c r="J158" s="34"/>
      <c r="K158" s="34"/>
      <c r="L158" s="34"/>
      <c r="M158" s="34"/>
    </row>
    <row r="159" spans="1:13" x14ac:dyDescent="0.3">
      <c r="A159" s="17" t="s">
        <v>237</v>
      </c>
      <c r="B159" s="16" t="s">
        <v>33</v>
      </c>
      <c r="C159" s="1" t="str">
        <f t="shared" si="20"/>
        <v>MIRNogales</v>
      </c>
      <c r="D159" s="139">
        <v>3250</v>
      </c>
      <c r="E159" s="139">
        <v>2650</v>
      </c>
      <c r="F159" s="140">
        <v>1950</v>
      </c>
      <c r="G159" s="34"/>
      <c r="H159" s="34"/>
      <c r="I159" s="34"/>
      <c r="J159" s="34"/>
      <c r="K159" s="34"/>
      <c r="L159" s="34"/>
      <c r="M159" s="34"/>
    </row>
    <row r="160" spans="1:13" x14ac:dyDescent="0.3">
      <c r="A160" s="17" t="s">
        <v>237</v>
      </c>
      <c r="B160" s="16" t="s">
        <v>28</v>
      </c>
      <c r="C160" s="1" t="str">
        <f t="shared" si="20"/>
        <v>MIRMonterrey</v>
      </c>
      <c r="D160" s="139">
        <v>3250</v>
      </c>
      <c r="E160" s="139">
        <v>2650</v>
      </c>
      <c r="F160" s="140">
        <v>1950</v>
      </c>
      <c r="G160" s="34"/>
      <c r="H160" s="34"/>
      <c r="I160" s="34"/>
      <c r="J160" s="34"/>
      <c r="K160" s="34"/>
      <c r="L160" s="34"/>
      <c r="M160" s="34"/>
    </row>
    <row r="161" spans="1:20" x14ac:dyDescent="0.3">
      <c r="A161" s="17" t="s">
        <v>237</v>
      </c>
      <c r="B161" s="16" t="s">
        <v>38</v>
      </c>
      <c r="C161" s="1" t="str">
        <f t="shared" si="20"/>
        <v>MIRAICM</v>
      </c>
      <c r="D161" s="139">
        <v>3250</v>
      </c>
      <c r="E161" s="139">
        <v>2650</v>
      </c>
      <c r="F161" s="140">
        <v>1950</v>
      </c>
      <c r="G161" s="34"/>
      <c r="H161" s="34"/>
      <c r="I161" s="34"/>
      <c r="J161" s="34"/>
      <c r="K161" s="34"/>
      <c r="L161" s="34"/>
      <c r="M161" s="34"/>
    </row>
    <row r="162" spans="1:20" x14ac:dyDescent="0.3">
      <c r="A162" s="17" t="s">
        <v>237</v>
      </c>
      <c r="B162" s="16" t="s">
        <v>23</v>
      </c>
      <c r="C162" s="1" t="str">
        <f t="shared" si="20"/>
        <v>MIRCd. Juarez</v>
      </c>
      <c r="D162" s="139">
        <v>3250</v>
      </c>
      <c r="E162" s="139">
        <v>2650</v>
      </c>
      <c r="F162" s="140">
        <v>1950</v>
      </c>
      <c r="G162" s="34"/>
      <c r="H162" s="34"/>
      <c r="I162" s="34"/>
      <c r="J162" s="34"/>
      <c r="K162" s="34"/>
      <c r="L162" s="34"/>
      <c r="M162" s="34"/>
    </row>
    <row r="163" spans="1:20" x14ac:dyDescent="0.3">
      <c r="A163" s="17" t="s">
        <v>237</v>
      </c>
      <c r="B163" s="16" t="s">
        <v>32</v>
      </c>
      <c r="C163" s="1" t="str">
        <f t="shared" si="20"/>
        <v>MIRTijuana</v>
      </c>
      <c r="D163" s="139">
        <v>3250</v>
      </c>
      <c r="E163" s="139">
        <v>2650</v>
      </c>
      <c r="F163" s="140">
        <v>1950</v>
      </c>
      <c r="G163" s="34"/>
      <c r="H163" s="34"/>
      <c r="I163" s="34"/>
      <c r="J163" s="34"/>
      <c r="K163" s="34"/>
      <c r="L163" s="34"/>
      <c r="M163" s="34"/>
    </row>
    <row r="164" spans="1:20" x14ac:dyDescent="0.3">
      <c r="D164"/>
      <c r="F164" s="34"/>
      <c r="G164" s="34"/>
      <c r="H164" s="34"/>
      <c r="I164" s="34"/>
      <c r="J164" s="34"/>
      <c r="K164" s="34"/>
      <c r="L164" s="34"/>
      <c r="M164" s="34"/>
    </row>
    <row r="165" spans="1:20" x14ac:dyDescent="0.3">
      <c r="A165" s="128" t="s">
        <v>5</v>
      </c>
      <c r="B165" s="128" t="s">
        <v>256</v>
      </c>
      <c r="C165" s="150" t="s">
        <v>244</v>
      </c>
      <c r="D165" s="128" t="s">
        <v>421</v>
      </c>
      <c r="E165" s="128" t="s">
        <v>431</v>
      </c>
      <c r="F165" s="128" t="s">
        <v>432</v>
      </c>
      <c r="I165" s="34"/>
      <c r="J165" s="34"/>
      <c r="K165" s="34"/>
      <c r="L165" s="34"/>
      <c r="M165" s="34"/>
    </row>
    <row r="166" spans="1:20" x14ac:dyDescent="0.3">
      <c r="A166" s="128" t="s">
        <v>5</v>
      </c>
      <c r="B166" s="128" t="s">
        <v>256</v>
      </c>
      <c r="C166" s="128" t="s">
        <v>244</v>
      </c>
      <c r="D166" s="138" t="s">
        <v>293</v>
      </c>
      <c r="E166" s="138" t="s">
        <v>292</v>
      </c>
      <c r="F166" s="138" t="s">
        <v>294</v>
      </c>
      <c r="I166" s="34"/>
      <c r="J166" s="34"/>
      <c r="K166" s="34"/>
      <c r="L166" s="34"/>
      <c r="M166" s="34"/>
    </row>
    <row r="167" spans="1:20" x14ac:dyDescent="0.3">
      <c r="A167" s="17" t="s">
        <v>20</v>
      </c>
      <c r="B167" s="16" t="s">
        <v>29</v>
      </c>
      <c r="C167" s="1" t="str">
        <f t="shared" ref="C167:C174" si="21">CONCATENATE(A167,B167,)</f>
        <v>UREl Paso</v>
      </c>
      <c r="D167" s="155">
        <f>INDEX($D$177:$E$186,MATCH($B$7,$C$177:$C$186,0),1)</f>
        <v>6586</v>
      </c>
      <c r="E167" s="155">
        <f>INDEX($D$177:$E$186,MATCH($B$7,$C$177:$C$186,0),2)</f>
        <v>2764</v>
      </c>
      <c r="F167" s="155">
        <f>INDEX($D$177:$E$186,MATCH($B$7,$C$177:$C$186,0),2)</f>
        <v>2764</v>
      </c>
      <c r="I167" s="34"/>
      <c r="J167" s="34"/>
      <c r="K167" s="34"/>
      <c r="L167" s="34"/>
      <c r="M167" s="34"/>
    </row>
    <row r="168" spans="1:20" x14ac:dyDescent="0.3">
      <c r="A168" s="17" t="s">
        <v>20</v>
      </c>
      <c r="B168" s="16" t="s">
        <v>31</v>
      </c>
      <c r="C168" s="1" t="str">
        <f t="shared" si="21"/>
        <v>URLaredo</v>
      </c>
      <c r="D168" s="155">
        <f t="shared" ref="D168:D174" si="22">INDEX($D$177:$D$186,MATCH($B$7,$C$177:$C$186,0),1)</f>
        <v>6586</v>
      </c>
      <c r="E168" s="155">
        <f t="shared" ref="E168:F174" si="23">INDEX($D$177:$E$186,MATCH($B$7,$C$177:$C$186,0),2)</f>
        <v>2764</v>
      </c>
      <c r="F168" s="155">
        <f t="shared" si="23"/>
        <v>2764</v>
      </c>
      <c r="I168" s="34"/>
      <c r="J168" s="34"/>
      <c r="K168" s="34"/>
      <c r="L168" s="34"/>
      <c r="M168" s="34"/>
    </row>
    <row r="169" spans="1:20" x14ac:dyDescent="0.3">
      <c r="A169" s="134" t="s">
        <v>20</v>
      </c>
      <c r="B169" s="16" t="s">
        <v>35</v>
      </c>
      <c r="C169" s="1" t="str">
        <f t="shared" si="21"/>
        <v>URSan Diego</v>
      </c>
      <c r="D169" s="155">
        <f t="shared" si="22"/>
        <v>6586</v>
      </c>
      <c r="E169" s="155">
        <f t="shared" si="23"/>
        <v>2764</v>
      </c>
      <c r="F169" s="155">
        <f t="shared" si="23"/>
        <v>2764</v>
      </c>
      <c r="G169" s="34"/>
      <c r="H169" s="9"/>
      <c r="I169" s="34"/>
      <c r="J169" s="34"/>
      <c r="K169" s="34"/>
      <c r="L169" s="34"/>
      <c r="M169" s="34"/>
    </row>
    <row r="170" spans="1:20" x14ac:dyDescent="0.3">
      <c r="A170" s="17" t="s">
        <v>20</v>
      </c>
      <c r="B170" s="16" t="s">
        <v>33</v>
      </c>
      <c r="C170" s="1" t="str">
        <f t="shared" si="21"/>
        <v>URNogales</v>
      </c>
      <c r="D170" s="155">
        <f t="shared" si="22"/>
        <v>6586</v>
      </c>
      <c r="E170" s="155">
        <f t="shared" si="23"/>
        <v>2764</v>
      </c>
      <c r="F170" s="155">
        <f t="shared" si="23"/>
        <v>2764</v>
      </c>
      <c r="G170" s="34"/>
      <c r="H170" s="9"/>
      <c r="I170" s="34"/>
      <c r="J170" s="34"/>
      <c r="K170" s="34"/>
      <c r="L170" s="34"/>
      <c r="M170" s="34"/>
    </row>
    <row r="171" spans="1:20" x14ac:dyDescent="0.3">
      <c r="A171" s="17" t="s">
        <v>20</v>
      </c>
      <c r="B171" s="16" t="s">
        <v>28</v>
      </c>
      <c r="C171" s="1" t="str">
        <f t="shared" si="21"/>
        <v>URMonterrey</v>
      </c>
      <c r="D171" s="155">
        <f t="shared" si="22"/>
        <v>6586</v>
      </c>
      <c r="E171" s="155">
        <f t="shared" si="23"/>
        <v>2764</v>
      </c>
      <c r="F171" s="155">
        <f t="shared" si="23"/>
        <v>2764</v>
      </c>
      <c r="G171" s="34"/>
      <c r="H171" s="9"/>
      <c r="I171" s="34"/>
      <c r="J171" s="34"/>
      <c r="K171" s="34"/>
      <c r="L171" s="34"/>
      <c r="M171" s="34"/>
    </row>
    <row r="172" spans="1:20" x14ac:dyDescent="0.3">
      <c r="A172" s="17" t="s">
        <v>20</v>
      </c>
      <c r="B172" s="16" t="s">
        <v>38</v>
      </c>
      <c r="C172" s="1" t="str">
        <f t="shared" si="21"/>
        <v>URAICM</v>
      </c>
      <c r="D172" s="155">
        <f t="shared" si="22"/>
        <v>6586</v>
      </c>
      <c r="E172" s="155">
        <f t="shared" si="23"/>
        <v>2764</v>
      </c>
      <c r="F172" s="155">
        <f t="shared" si="23"/>
        <v>2764</v>
      </c>
      <c r="G172" s="34"/>
      <c r="H172" s="9"/>
      <c r="I172" s="34"/>
      <c r="J172" s="34"/>
      <c r="K172" s="34"/>
      <c r="L172" s="34"/>
      <c r="M172" s="34"/>
    </row>
    <row r="173" spans="1:20" x14ac:dyDescent="0.3">
      <c r="A173" s="17" t="s">
        <v>20</v>
      </c>
      <c r="B173" s="16" t="s">
        <v>23</v>
      </c>
      <c r="C173" s="1" t="str">
        <f t="shared" si="21"/>
        <v>URCd. Juarez</v>
      </c>
      <c r="D173" s="155">
        <f t="shared" si="22"/>
        <v>6586</v>
      </c>
      <c r="E173" s="155">
        <f t="shared" si="23"/>
        <v>2764</v>
      </c>
      <c r="F173" s="155">
        <f t="shared" si="23"/>
        <v>2764</v>
      </c>
      <c r="G173" s="34"/>
      <c r="H173" s="9"/>
      <c r="I173" s="34"/>
      <c r="J173" s="34"/>
      <c r="K173" s="34"/>
      <c r="L173" s="34"/>
      <c r="M173" s="34"/>
    </row>
    <row r="174" spans="1:20" x14ac:dyDescent="0.3">
      <c r="A174" s="134" t="s">
        <v>20</v>
      </c>
      <c r="B174" s="16" t="s">
        <v>32</v>
      </c>
      <c r="C174" s="1" t="str">
        <f t="shared" si="21"/>
        <v>URTijuana</v>
      </c>
      <c r="D174" s="155">
        <f t="shared" si="22"/>
        <v>6586</v>
      </c>
      <c r="E174" s="155">
        <f t="shared" si="23"/>
        <v>2764</v>
      </c>
      <c r="F174" s="155">
        <f t="shared" si="23"/>
        <v>2764</v>
      </c>
      <c r="G174" s="34"/>
      <c r="H174" s="9"/>
      <c r="I174" s="34"/>
      <c r="J174" s="34"/>
      <c r="K174" s="34"/>
      <c r="L174" s="34"/>
      <c r="M174" s="34"/>
    </row>
    <row r="175" spans="1:20" s="9" customFormat="1" x14ac:dyDescent="0.3">
      <c r="A175" s="128" t="s">
        <v>15</v>
      </c>
      <c r="B175" s="128" t="s">
        <v>256</v>
      </c>
      <c r="C175" s="128" t="s">
        <v>240</v>
      </c>
      <c r="D175" s="128" t="s">
        <v>430</v>
      </c>
      <c r="E175" s="128" t="s">
        <v>429</v>
      </c>
      <c r="F175" s="128" t="s">
        <v>427</v>
      </c>
      <c r="G175" s="34"/>
      <c r="S175" s="37"/>
      <c r="T175" s="37"/>
    </row>
    <row r="176" spans="1:20" x14ac:dyDescent="0.3">
      <c r="A176" s="128" t="s">
        <v>5</v>
      </c>
      <c r="B176" s="128" t="s">
        <v>256</v>
      </c>
      <c r="C176" s="128" t="s">
        <v>244</v>
      </c>
      <c r="D176" s="138" t="s">
        <v>293</v>
      </c>
      <c r="E176" s="138" t="s">
        <v>292</v>
      </c>
      <c r="F176" s="138" t="s">
        <v>294</v>
      </c>
      <c r="G176" s="34"/>
      <c r="H176" s="9"/>
    </row>
    <row r="177" spans="1:20" x14ac:dyDescent="0.3">
      <c r="A177" s="132" t="s">
        <v>20</v>
      </c>
      <c r="B177" s="132" t="s">
        <v>20</v>
      </c>
      <c r="C177" s="132">
        <v>1</v>
      </c>
      <c r="D177" s="133">
        <f>2199+220</f>
        <v>2419</v>
      </c>
      <c r="E177" s="133">
        <f>925+220</f>
        <v>1145</v>
      </c>
      <c r="F177" s="133">
        <f>925+220</f>
        <v>1145</v>
      </c>
      <c r="G177" s="34"/>
      <c r="H177" s="9"/>
    </row>
    <row r="178" spans="1:20" x14ac:dyDescent="0.3">
      <c r="A178" s="132" t="s">
        <v>20</v>
      </c>
      <c r="B178" s="132" t="s">
        <v>20</v>
      </c>
      <c r="C178" s="132">
        <v>2</v>
      </c>
      <c r="D178" s="133">
        <f>4282+220</f>
        <v>4502</v>
      </c>
      <c r="E178" s="133">
        <f>1734+220</f>
        <v>1954</v>
      </c>
      <c r="F178" s="133">
        <f>1734+220</f>
        <v>1954</v>
      </c>
      <c r="G178" s="34"/>
      <c r="H178" s="9"/>
    </row>
    <row r="179" spans="1:20" s="9" customFormat="1" x14ac:dyDescent="0.3">
      <c r="A179" s="132" t="s">
        <v>20</v>
      </c>
      <c r="B179" s="132" t="s">
        <v>20</v>
      </c>
      <c r="C179" s="132">
        <v>3</v>
      </c>
      <c r="D179" s="133">
        <f>6366+220</f>
        <v>6586</v>
      </c>
      <c r="E179" s="133">
        <f>2544+220</f>
        <v>2764</v>
      </c>
      <c r="F179" s="133">
        <f>2544+220</f>
        <v>2764</v>
      </c>
      <c r="G179" s="34"/>
      <c r="S179" s="37"/>
      <c r="T179" s="37"/>
    </row>
    <row r="180" spans="1:20" s="9" customFormat="1" x14ac:dyDescent="0.3">
      <c r="A180" s="132" t="s">
        <v>20</v>
      </c>
      <c r="B180" s="132" t="s">
        <v>20</v>
      </c>
      <c r="C180" s="132">
        <v>4</v>
      </c>
      <c r="D180" s="133">
        <f>8449+220</f>
        <v>8669</v>
      </c>
      <c r="E180" s="133">
        <f>3354+220</f>
        <v>3574</v>
      </c>
      <c r="F180" s="133">
        <f>3354+220</f>
        <v>3574</v>
      </c>
      <c r="G180" s="34"/>
      <c r="S180" s="37"/>
      <c r="T180" s="37"/>
    </row>
    <row r="181" spans="1:20" s="9" customFormat="1" x14ac:dyDescent="0.3">
      <c r="A181" s="132" t="s">
        <v>20</v>
      </c>
      <c r="B181" s="132" t="s">
        <v>20</v>
      </c>
      <c r="C181" s="132">
        <v>5</v>
      </c>
      <c r="D181" s="133">
        <f>10533+330</f>
        <v>10863</v>
      </c>
      <c r="E181" s="133">
        <f>4163+330</f>
        <v>4493</v>
      </c>
      <c r="F181" s="133">
        <f>4163+330</f>
        <v>4493</v>
      </c>
      <c r="G181" s="34"/>
      <c r="S181" s="37"/>
      <c r="T181" s="37"/>
    </row>
    <row r="182" spans="1:20" s="9" customFormat="1" x14ac:dyDescent="0.3">
      <c r="A182" s="132" t="s">
        <v>20</v>
      </c>
      <c r="B182" s="132" t="s">
        <v>20</v>
      </c>
      <c r="C182" s="132">
        <v>6</v>
      </c>
      <c r="D182" s="133">
        <f>12616+330</f>
        <v>12946</v>
      </c>
      <c r="E182" s="133">
        <f>4973+330</f>
        <v>5303</v>
      </c>
      <c r="F182" s="133">
        <f>4973+330</f>
        <v>5303</v>
      </c>
      <c r="G182" s="34"/>
      <c r="S182" s="37"/>
      <c r="T182" s="37"/>
    </row>
    <row r="183" spans="1:20" s="9" customFormat="1" x14ac:dyDescent="0.3">
      <c r="A183" s="132" t="s">
        <v>20</v>
      </c>
      <c r="B183" s="132" t="s">
        <v>20</v>
      </c>
      <c r="C183" s="132">
        <v>7</v>
      </c>
      <c r="D183" s="133">
        <f>14700+440</f>
        <v>15140</v>
      </c>
      <c r="E183" s="133">
        <f>5783+440</f>
        <v>6223</v>
      </c>
      <c r="F183" s="133">
        <f>5783+440</f>
        <v>6223</v>
      </c>
      <c r="G183" s="34"/>
      <c r="S183" s="37"/>
      <c r="T183" s="37"/>
    </row>
    <row r="184" spans="1:20" s="9" customFormat="1" x14ac:dyDescent="0.3">
      <c r="A184" s="132" t="s">
        <v>20</v>
      </c>
      <c r="B184" s="132" t="s">
        <v>20</v>
      </c>
      <c r="C184" s="132">
        <v>8</v>
      </c>
      <c r="D184" s="133">
        <f>16784+440</f>
        <v>17224</v>
      </c>
      <c r="E184" s="133">
        <f>6592+440</f>
        <v>7032</v>
      </c>
      <c r="F184" s="133">
        <f>6592+440</f>
        <v>7032</v>
      </c>
      <c r="G184" s="34"/>
      <c r="S184" s="37"/>
      <c r="T184" s="37"/>
    </row>
    <row r="185" spans="1:20" x14ac:dyDescent="0.3">
      <c r="A185" s="132" t="s">
        <v>20</v>
      </c>
      <c r="B185" s="132" t="s">
        <v>20</v>
      </c>
      <c r="C185" s="132">
        <v>9</v>
      </c>
      <c r="D185" s="133">
        <f>17062+440</f>
        <v>17502</v>
      </c>
      <c r="E185" s="133">
        <f>7402+440</f>
        <v>7842</v>
      </c>
      <c r="F185" s="133">
        <f>7402+440</f>
        <v>7842</v>
      </c>
      <c r="G185" s="34"/>
      <c r="H185" s="34"/>
      <c r="I185" s="34"/>
      <c r="J185" s="34"/>
      <c r="K185" s="34"/>
      <c r="L185" s="34"/>
      <c r="M185" s="34"/>
    </row>
    <row r="186" spans="1:20" x14ac:dyDescent="0.3">
      <c r="A186" s="132" t="s">
        <v>20</v>
      </c>
      <c r="B186" s="132" t="s">
        <v>20</v>
      </c>
      <c r="C186" s="132">
        <v>10</v>
      </c>
      <c r="D186" s="133">
        <f>19146+550</f>
        <v>19696</v>
      </c>
      <c r="E186" s="133">
        <f>8212+550</f>
        <v>8762</v>
      </c>
      <c r="F186" s="133">
        <f>8212+550</f>
        <v>8762</v>
      </c>
      <c r="G186" s="34"/>
      <c r="H186" s="34"/>
      <c r="I186" s="34"/>
      <c r="J186" s="34"/>
      <c r="K186" s="34"/>
      <c r="L186" s="34"/>
      <c r="M186" s="34"/>
    </row>
    <row r="187" spans="1:20" x14ac:dyDescent="0.3">
      <c r="A187" s="131"/>
      <c r="B187" s="9"/>
      <c r="C187" s="131"/>
      <c r="D187" s="181"/>
      <c r="F187" s="34"/>
      <c r="G187" s="34"/>
      <c r="H187" s="34"/>
      <c r="I187" s="34"/>
      <c r="J187" s="34"/>
      <c r="K187" s="34"/>
      <c r="L187" s="34"/>
      <c r="M187" s="34"/>
    </row>
    <row r="188" spans="1:20" x14ac:dyDescent="0.3">
      <c r="A188" s="131"/>
      <c r="B188" s="9"/>
      <c r="C188" s="131"/>
      <c r="D188" s="181"/>
      <c r="F188" s="34"/>
      <c r="G188" s="34"/>
      <c r="H188" s="34"/>
      <c r="I188" s="34"/>
      <c r="J188" s="34"/>
      <c r="K188" s="34"/>
      <c r="L188" s="34"/>
      <c r="M188" s="34"/>
    </row>
    <row r="189" spans="1:20" x14ac:dyDescent="0.3">
      <c r="A189" s="131"/>
      <c r="B189" s="9"/>
      <c r="C189" s="131"/>
      <c r="D189" s="181"/>
      <c r="F189" s="34"/>
      <c r="G189" s="34"/>
      <c r="H189" s="34"/>
      <c r="I189" s="34"/>
      <c r="J189" s="34"/>
      <c r="K189" s="34"/>
      <c r="L189" s="34"/>
      <c r="M189" s="34"/>
    </row>
    <row r="190" spans="1:20" x14ac:dyDescent="0.3">
      <c r="A190" s="131"/>
      <c r="B190" s="9"/>
      <c r="C190" s="131"/>
      <c r="D190" s="181"/>
      <c r="F190" s="34"/>
      <c r="G190" s="34"/>
      <c r="H190" s="34"/>
      <c r="I190" s="34"/>
      <c r="J190" s="34"/>
      <c r="K190" s="34"/>
      <c r="L190" s="34"/>
      <c r="M190" s="34"/>
    </row>
    <row r="191" spans="1:20" x14ac:dyDescent="0.3">
      <c r="A191" s="131"/>
      <c r="B191" s="9"/>
      <c r="C191" s="131"/>
      <c r="D191" s="181"/>
      <c r="F191" s="34"/>
      <c r="G191" s="34"/>
      <c r="H191" s="34"/>
      <c r="I191" s="34"/>
      <c r="J191" s="34"/>
      <c r="K191" s="34"/>
      <c r="L191" s="34"/>
      <c r="M191" s="34"/>
    </row>
    <row r="192" spans="1:20" x14ac:dyDescent="0.3">
      <c r="A192" s="131"/>
      <c r="B192" s="9"/>
      <c r="C192" s="131"/>
      <c r="D192" s="181"/>
      <c r="F192" s="34"/>
      <c r="G192" s="34"/>
      <c r="H192" s="34"/>
      <c r="I192" s="34"/>
      <c r="J192" s="34"/>
      <c r="K192" s="34"/>
      <c r="L192" s="34"/>
      <c r="M192" s="34"/>
    </row>
    <row r="193" spans="1:20" x14ac:dyDescent="0.3">
      <c r="A193" s="131"/>
      <c r="B193" s="9"/>
      <c r="C193" s="131"/>
      <c r="D193" s="181"/>
      <c r="F193" s="34"/>
      <c r="G193" s="34"/>
      <c r="H193" s="34"/>
      <c r="I193" s="34"/>
      <c r="J193" s="34"/>
      <c r="K193" s="34"/>
      <c r="L193" s="34"/>
      <c r="M193" s="34"/>
    </row>
    <row r="194" spans="1:20" x14ac:dyDescent="0.3">
      <c r="F194" s="34"/>
      <c r="G194" s="34"/>
      <c r="H194" s="34"/>
      <c r="I194" s="34"/>
      <c r="J194" s="34"/>
      <c r="K194" s="34"/>
      <c r="L194" s="34"/>
      <c r="M194" s="34"/>
    </row>
    <row r="195" spans="1:20" x14ac:dyDescent="0.3">
      <c r="A195" s="128" t="s">
        <v>5</v>
      </c>
      <c r="B195" s="128" t="s">
        <v>256</v>
      </c>
      <c r="C195" s="150" t="s">
        <v>244</v>
      </c>
      <c r="D195" s="128" t="s">
        <v>346</v>
      </c>
      <c r="E195" s="128" t="s">
        <v>347</v>
      </c>
      <c r="F195" s="128" t="s">
        <v>348</v>
      </c>
      <c r="G195" s="34"/>
      <c r="H195" s="34"/>
      <c r="I195" s="34"/>
      <c r="J195" s="34"/>
      <c r="K195" s="34"/>
      <c r="L195" s="34"/>
      <c r="M195" s="34"/>
    </row>
    <row r="196" spans="1:20" x14ac:dyDescent="0.3">
      <c r="A196" s="128" t="s">
        <v>5</v>
      </c>
      <c r="B196" s="128" t="s">
        <v>256</v>
      </c>
      <c r="C196" s="128" t="s">
        <v>244</v>
      </c>
      <c r="D196" s="138" t="s">
        <v>293</v>
      </c>
      <c r="E196" s="138" t="s">
        <v>292</v>
      </c>
      <c r="F196" s="138" t="s">
        <v>294</v>
      </c>
      <c r="G196" s="34"/>
      <c r="H196" s="34"/>
      <c r="I196" s="34"/>
      <c r="J196" s="34"/>
      <c r="K196" s="34"/>
      <c r="L196" s="34"/>
      <c r="M196" s="34"/>
    </row>
    <row r="197" spans="1:20" x14ac:dyDescent="0.3">
      <c r="A197" s="134" t="s">
        <v>96</v>
      </c>
      <c r="B197" s="16" t="s">
        <v>40</v>
      </c>
      <c r="C197" s="1" t="str">
        <f>CONCATENATE(A197,B197,)</f>
        <v>QIMAROXAltamira</v>
      </c>
      <c r="D197" s="139"/>
      <c r="E197" s="1"/>
      <c r="F197" s="130"/>
      <c r="G197" s="34"/>
      <c r="H197" s="34"/>
      <c r="I197" s="34"/>
      <c r="J197" s="34"/>
      <c r="K197" s="34"/>
      <c r="L197" s="34"/>
      <c r="M197" s="34"/>
    </row>
    <row r="198" spans="1:20" x14ac:dyDescent="0.3">
      <c r="A198" s="134" t="s">
        <v>96</v>
      </c>
      <c r="B198" s="16" t="s">
        <v>41</v>
      </c>
      <c r="C198" s="1" t="str">
        <f>CONCATENATE(A198,B198,)</f>
        <v>QIMAROXManzanillo</v>
      </c>
      <c r="D198" s="139"/>
      <c r="E198" s="1"/>
      <c r="F198" s="130"/>
      <c r="G198" s="34"/>
      <c r="H198" s="34"/>
      <c r="I198" s="34"/>
      <c r="J198" s="34"/>
      <c r="K198" s="34"/>
      <c r="L198" s="34"/>
      <c r="M198" s="34"/>
    </row>
    <row r="199" spans="1:20" x14ac:dyDescent="0.3">
      <c r="F199" s="34"/>
      <c r="G199" s="34"/>
      <c r="H199" s="34"/>
      <c r="I199" s="34"/>
      <c r="J199" s="34"/>
      <c r="K199" s="34"/>
      <c r="L199" s="34"/>
      <c r="M199" s="34"/>
    </row>
    <row r="200" spans="1:20" x14ac:dyDescent="0.3">
      <c r="F200" s="34"/>
      <c r="G200" s="34"/>
      <c r="H200" s="34"/>
      <c r="I200" s="34"/>
      <c r="J200" s="34"/>
      <c r="K200" s="34"/>
      <c r="L200" s="34"/>
      <c r="M200" s="34"/>
    </row>
    <row r="201" spans="1:20" s="9" customFormat="1" x14ac:dyDescent="0.3">
      <c r="A201" s="29"/>
      <c r="B201" s="29"/>
      <c r="C201" s="127"/>
      <c r="D201" s="146"/>
      <c r="E201" s="34"/>
      <c r="F201" s="34"/>
      <c r="G201" s="34"/>
      <c r="S201" s="37"/>
      <c r="T201" s="37"/>
    </row>
    <row r="202" spans="1:20" s="9" customFormat="1" x14ac:dyDescent="0.3">
      <c r="A202" s="29"/>
      <c r="B202" s="29"/>
      <c r="C202" s="127"/>
      <c r="D202" s="146"/>
      <c r="E202" s="34"/>
      <c r="F202" s="34"/>
      <c r="G202" s="34"/>
      <c r="S202" s="37"/>
      <c r="T202" s="37"/>
    </row>
    <row r="203" spans="1:20" s="9" customFormat="1" x14ac:dyDescent="0.3">
      <c r="A203" s="29"/>
      <c r="B203" s="29"/>
      <c r="C203" s="127"/>
      <c r="D203" s="146"/>
      <c r="E203" s="34"/>
      <c r="F203" s="34"/>
      <c r="G203" s="34"/>
      <c r="S203" s="37"/>
      <c r="T203" s="37"/>
    </row>
    <row r="204" spans="1:20" s="9" customFormat="1" x14ac:dyDescent="0.3">
      <c r="A204" s="29"/>
      <c r="B204" s="29"/>
      <c r="C204" s="127"/>
      <c r="D204" s="146"/>
      <c r="E204" s="34"/>
      <c r="F204" s="34"/>
      <c r="G204" s="34"/>
      <c r="S204" s="37"/>
      <c r="T204" s="37"/>
    </row>
    <row r="207" spans="1:20" ht="15" thickBot="1" x14ac:dyDescent="0.35"/>
    <row r="208" spans="1:20" ht="15" thickBot="1" x14ac:dyDescent="0.35">
      <c r="A208" s="432" t="s">
        <v>420</v>
      </c>
      <c r="B208" s="433"/>
      <c r="C208" s="433"/>
      <c r="D208" s="433"/>
      <c r="E208" s="433"/>
      <c r="F208" s="433"/>
      <c r="G208" s="433"/>
      <c r="H208" s="433"/>
      <c r="I208" s="434"/>
    </row>
    <row r="209" spans="1:9" ht="15" thickBot="1" x14ac:dyDescent="0.35"/>
    <row r="210" spans="1:9" ht="15" thickBot="1" x14ac:dyDescent="0.35">
      <c r="A210" s="432" t="s">
        <v>419</v>
      </c>
      <c r="B210" s="433"/>
      <c r="C210" s="433"/>
      <c r="D210" s="433"/>
      <c r="E210" s="433"/>
      <c r="F210" s="433"/>
      <c r="G210" s="433"/>
      <c r="H210" s="433"/>
      <c r="I210" s="434"/>
    </row>
    <row r="211" spans="1:9" x14ac:dyDescent="0.3">
      <c r="A211" s="137" t="s">
        <v>5</v>
      </c>
      <c r="B211" s="137" t="s">
        <v>256</v>
      </c>
      <c r="C211" s="137" t="s">
        <v>244</v>
      </c>
      <c r="D211" s="151">
        <f t="shared" ref="D211:I220" si="24">D231*1.4</f>
        <v>230.99999999999997</v>
      </c>
      <c r="E211" s="151">
        <f t="shared" si="24"/>
        <v>1.0779999999999998</v>
      </c>
      <c r="F211" s="151">
        <f t="shared" si="24"/>
        <v>0.93799999999999994</v>
      </c>
      <c r="G211" s="151">
        <f t="shared" si="24"/>
        <v>0.75600000000000001</v>
      </c>
      <c r="H211" s="151">
        <f t="shared" si="24"/>
        <v>0.57399999999999995</v>
      </c>
      <c r="I211" s="151">
        <f t="shared" si="24"/>
        <v>0.504</v>
      </c>
    </row>
    <row r="212" spans="1:9" x14ac:dyDescent="0.3">
      <c r="A212" s="17" t="s">
        <v>4</v>
      </c>
      <c r="B212" s="16" t="s">
        <v>29</v>
      </c>
      <c r="C212" s="1" t="s">
        <v>402</v>
      </c>
      <c r="D212" s="139">
        <f t="shared" si="24"/>
        <v>230.99999999999997</v>
      </c>
      <c r="E212" s="139">
        <f t="shared" si="24"/>
        <v>1.022</v>
      </c>
      <c r="F212" s="140">
        <f t="shared" si="24"/>
        <v>0.8819999999999999</v>
      </c>
      <c r="G212" s="140">
        <f t="shared" si="24"/>
        <v>0.7</v>
      </c>
      <c r="H212" s="140">
        <f t="shared" si="24"/>
        <v>0.51800000000000002</v>
      </c>
      <c r="I212" s="140">
        <f t="shared" si="24"/>
        <v>0.46199999999999997</v>
      </c>
    </row>
    <row r="213" spans="1:9" x14ac:dyDescent="0.3">
      <c r="A213" s="17" t="s">
        <v>4</v>
      </c>
      <c r="B213" s="16" t="s">
        <v>31</v>
      </c>
      <c r="C213" s="1" t="s">
        <v>403</v>
      </c>
      <c r="D213" s="139">
        <f t="shared" si="24"/>
        <v>244.99999999999997</v>
      </c>
      <c r="E213" s="139">
        <f t="shared" si="24"/>
        <v>1.3299999999999998</v>
      </c>
      <c r="F213" s="140">
        <f t="shared" si="24"/>
        <v>1.19</v>
      </c>
      <c r="G213" s="140">
        <f t="shared" si="24"/>
        <v>1.022</v>
      </c>
      <c r="H213" s="140">
        <f t="shared" si="24"/>
        <v>0.77</v>
      </c>
      <c r="I213" s="140">
        <f t="shared" si="24"/>
        <v>0.7</v>
      </c>
    </row>
    <row r="214" spans="1:9" x14ac:dyDescent="0.3">
      <c r="A214" s="17" t="s">
        <v>4</v>
      </c>
      <c r="B214" s="16" t="s">
        <v>35</v>
      </c>
      <c r="C214" s="1" t="s">
        <v>404</v>
      </c>
      <c r="D214" s="139">
        <f t="shared" si="24"/>
        <v>244.99999999999997</v>
      </c>
      <c r="E214" s="139">
        <f t="shared" si="24"/>
        <v>1.3299999999999998</v>
      </c>
      <c r="F214" s="140">
        <f t="shared" si="24"/>
        <v>1.19</v>
      </c>
      <c r="G214" s="140">
        <f t="shared" si="24"/>
        <v>1.022</v>
      </c>
      <c r="H214" s="140">
        <f t="shared" si="24"/>
        <v>0.77</v>
      </c>
      <c r="I214" s="140">
        <f t="shared" si="24"/>
        <v>0.7</v>
      </c>
    </row>
    <row r="215" spans="1:9" x14ac:dyDescent="0.3">
      <c r="A215" s="17" t="s">
        <v>4</v>
      </c>
      <c r="B215" s="16" t="s">
        <v>33</v>
      </c>
      <c r="C215" s="1" t="s">
        <v>405</v>
      </c>
      <c r="D215" s="139">
        <f t="shared" si="24"/>
        <v>230.99999999999997</v>
      </c>
      <c r="E215" s="139">
        <f t="shared" si="24"/>
        <v>1.0779999999999998</v>
      </c>
      <c r="F215" s="140">
        <f t="shared" si="24"/>
        <v>0.93799999999999994</v>
      </c>
      <c r="G215" s="140">
        <f t="shared" si="24"/>
        <v>0.75600000000000001</v>
      </c>
      <c r="H215" s="140">
        <f t="shared" si="24"/>
        <v>0.57399999999999995</v>
      </c>
      <c r="I215" s="140">
        <f t="shared" si="24"/>
        <v>0.504</v>
      </c>
    </row>
    <row r="216" spans="1:9" x14ac:dyDescent="0.3">
      <c r="A216" s="17" t="s">
        <v>69</v>
      </c>
      <c r="B216" s="16" t="s">
        <v>29</v>
      </c>
      <c r="C216" s="1" t="s">
        <v>406</v>
      </c>
      <c r="D216" s="139">
        <f t="shared" si="24"/>
        <v>230.99999999999997</v>
      </c>
      <c r="E216" s="139">
        <f t="shared" si="24"/>
        <v>1.022</v>
      </c>
      <c r="F216" s="140">
        <f t="shared" si="24"/>
        <v>0.8819999999999999</v>
      </c>
      <c r="G216" s="140">
        <f t="shared" si="24"/>
        <v>0.7</v>
      </c>
      <c r="H216" s="140">
        <f t="shared" si="24"/>
        <v>0.51800000000000002</v>
      </c>
      <c r="I216" s="140">
        <f t="shared" si="24"/>
        <v>0.46199999999999997</v>
      </c>
    </row>
    <row r="217" spans="1:9" x14ac:dyDescent="0.3">
      <c r="A217" s="17" t="s">
        <v>69</v>
      </c>
      <c r="B217" s="16" t="s">
        <v>31</v>
      </c>
      <c r="C217" s="1" t="s">
        <v>407</v>
      </c>
      <c r="D217" s="139">
        <f t="shared" si="24"/>
        <v>244.99999999999997</v>
      </c>
      <c r="E217" s="139">
        <f t="shared" si="24"/>
        <v>1.3299999999999998</v>
      </c>
      <c r="F217" s="140">
        <f t="shared" si="24"/>
        <v>1.19</v>
      </c>
      <c r="G217" s="140">
        <f t="shared" si="24"/>
        <v>1.022</v>
      </c>
      <c r="H217" s="140">
        <f t="shared" si="24"/>
        <v>0.77</v>
      </c>
      <c r="I217" s="140">
        <f t="shared" si="24"/>
        <v>0.7</v>
      </c>
    </row>
    <row r="218" spans="1:9" x14ac:dyDescent="0.3">
      <c r="A218" s="17" t="s">
        <v>69</v>
      </c>
      <c r="B218" s="16" t="s">
        <v>35</v>
      </c>
      <c r="C218" s="1" t="s">
        <v>408</v>
      </c>
      <c r="D218" s="139">
        <f t="shared" si="24"/>
        <v>244.99999999999997</v>
      </c>
      <c r="E218" s="139">
        <f t="shared" si="24"/>
        <v>1.3299999999999998</v>
      </c>
      <c r="F218" s="140">
        <f t="shared" si="24"/>
        <v>1.19</v>
      </c>
      <c r="G218" s="140">
        <f t="shared" si="24"/>
        <v>1.022</v>
      </c>
      <c r="H218" s="140">
        <f t="shared" si="24"/>
        <v>0.77</v>
      </c>
      <c r="I218" s="140">
        <f t="shared" si="24"/>
        <v>0.7</v>
      </c>
    </row>
    <row r="219" spans="1:9" x14ac:dyDescent="0.3">
      <c r="A219" s="17" t="s">
        <v>69</v>
      </c>
      <c r="B219" s="16" t="s">
        <v>33</v>
      </c>
      <c r="C219" s="1" t="s">
        <v>409</v>
      </c>
      <c r="D219" s="139">
        <f t="shared" si="24"/>
        <v>277.2</v>
      </c>
      <c r="E219" s="139">
        <f t="shared" si="24"/>
        <v>1.2935999999999999</v>
      </c>
      <c r="F219" s="140">
        <f t="shared" si="24"/>
        <v>1.1255999999999999</v>
      </c>
      <c r="G219" s="140">
        <f t="shared" si="24"/>
        <v>0.90720000000000001</v>
      </c>
      <c r="H219" s="140">
        <f t="shared" si="24"/>
        <v>0.68879999999999986</v>
      </c>
      <c r="I219" s="140">
        <f t="shared" si="24"/>
        <v>0.6048</v>
      </c>
    </row>
    <row r="220" spans="1:9" x14ac:dyDescent="0.3">
      <c r="A220" s="129" t="s">
        <v>50</v>
      </c>
      <c r="B220" s="16" t="s">
        <v>29</v>
      </c>
      <c r="C220" s="1" t="s">
        <v>410</v>
      </c>
      <c r="D220" s="139">
        <f t="shared" si="24"/>
        <v>277.2</v>
      </c>
      <c r="E220" s="139">
        <f t="shared" si="24"/>
        <v>1.2263999999999999</v>
      </c>
      <c r="F220" s="140">
        <f t="shared" si="24"/>
        <v>1.0584</v>
      </c>
      <c r="G220" s="140">
        <f t="shared" si="24"/>
        <v>0.84</v>
      </c>
      <c r="H220" s="140">
        <f t="shared" si="24"/>
        <v>0.62159999999999993</v>
      </c>
      <c r="I220" s="140">
        <f t="shared" si="24"/>
        <v>0.5544</v>
      </c>
    </row>
    <row r="221" spans="1:9" x14ac:dyDescent="0.3">
      <c r="A221" s="129" t="s">
        <v>50</v>
      </c>
      <c r="B221" s="16" t="s">
        <v>31</v>
      </c>
      <c r="C221" s="1" t="s">
        <v>411</v>
      </c>
      <c r="D221" s="139">
        <f t="shared" ref="D221:I226" si="25">D241*1.4</f>
        <v>294</v>
      </c>
      <c r="E221" s="139">
        <f t="shared" si="25"/>
        <v>1.5959999999999999</v>
      </c>
      <c r="F221" s="140">
        <f t="shared" si="25"/>
        <v>1.4279999999999999</v>
      </c>
      <c r="G221" s="140">
        <f t="shared" si="25"/>
        <v>1.2263999999999999</v>
      </c>
      <c r="H221" s="140">
        <f t="shared" si="25"/>
        <v>0.92399999999999993</v>
      </c>
      <c r="I221" s="140">
        <f t="shared" si="25"/>
        <v>0.84</v>
      </c>
    </row>
    <row r="222" spans="1:9" x14ac:dyDescent="0.3">
      <c r="A222" s="129" t="s">
        <v>50</v>
      </c>
      <c r="B222" s="16" t="s">
        <v>35</v>
      </c>
      <c r="C222" s="1" t="s">
        <v>412</v>
      </c>
      <c r="D222" s="139">
        <f t="shared" si="25"/>
        <v>294</v>
      </c>
      <c r="E222" s="139">
        <f t="shared" si="25"/>
        <v>1.5959999999999999</v>
      </c>
      <c r="F222" s="140">
        <f t="shared" si="25"/>
        <v>1.4279999999999999</v>
      </c>
      <c r="G222" s="140">
        <f t="shared" si="25"/>
        <v>1.2263999999999999</v>
      </c>
      <c r="H222" s="140">
        <f t="shared" si="25"/>
        <v>0.92399999999999993</v>
      </c>
      <c r="I222" s="140">
        <f t="shared" si="25"/>
        <v>0.84</v>
      </c>
    </row>
    <row r="223" spans="1:9" x14ac:dyDescent="0.3">
      <c r="A223" s="129" t="s">
        <v>50</v>
      </c>
      <c r="B223" s="16" t="s">
        <v>33</v>
      </c>
      <c r="C223" s="1" t="s">
        <v>413</v>
      </c>
      <c r="D223" s="139">
        <f t="shared" si="25"/>
        <v>277.2</v>
      </c>
      <c r="E223" s="139">
        <f t="shared" si="25"/>
        <v>1.2935999999999999</v>
      </c>
      <c r="F223" s="140">
        <f t="shared" si="25"/>
        <v>1.1255999999999999</v>
      </c>
      <c r="G223" s="140">
        <f t="shared" si="25"/>
        <v>0.90720000000000001</v>
      </c>
      <c r="H223" s="140">
        <f t="shared" si="25"/>
        <v>0.68879999999999986</v>
      </c>
      <c r="I223" s="140">
        <f t="shared" si="25"/>
        <v>0.6048</v>
      </c>
    </row>
    <row r="224" spans="1:9" x14ac:dyDescent="0.3">
      <c r="A224" s="129" t="s">
        <v>238</v>
      </c>
      <c r="B224" s="16" t="s">
        <v>29</v>
      </c>
      <c r="C224" s="1" t="s">
        <v>414</v>
      </c>
      <c r="D224" s="139">
        <f t="shared" si="25"/>
        <v>277.2</v>
      </c>
      <c r="E224" s="139">
        <f t="shared" si="25"/>
        <v>1.2263999999999999</v>
      </c>
      <c r="F224" s="140">
        <f t="shared" si="25"/>
        <v>1.0584</v>
      </c>
      <c r="G224" s="140">
        <f t="shared" si="25"/>
        <v>0.84</v>
      </c>
      <c r="H224" s="140">
        <f t="shared" si="25"/>
        <v>0.62159999999999993</v>
      </c>
      <c r="I224" s="140">
        <f t="shared" si="25"/>
        <v>0.5544</v>
      </c>
    </row>
    <row r="225" spans="1:9" x14ac:dyDescent="0.3">
      <c r="A225" s="129" t="s">
        <v>238</v>
      </c>
      <c r="B225" s="16" t="s">
        <v>31</v>
      </c>
      <c r="C225" s="1" t="s">
        <v>415</v>
      </c>
      <c r="D225" s="139">
        <f t="shared" si="25"/>
        <v>294</v>
      </c>
      <c r="E225" s="139">
        <f t="shared" si="25"/>
        <v>1.5959999999999999</v>
      </c>
      <c r="F225" s="140">
        <f t="shared" si="25"/>
        <v>1.4279999999999999</v>
      </c>
      <c r="G225" s="140">
        <f t="shared" si="25"/>
        <v>1.2263999999999999</v>
      </c>
      <c r="H225" s="140">
        <f t="shared" si="25"/>
        <v>0.92399999999999993</v>
      </c>
      <c r="I225" s="140">
        <f t="shared" si="25"/>
        <v>0.84</v>
      </c>
    </row>
    <row r="226" spans="1:9" x14ac:dyDescent="0.3">
      <c r="A226" s="129" t="s">
        <v>238</v>
      </c>
      <c r="B226" s="16" t="s">
        <v>35</v>
      </c>
      <c r="C226" s="1" t="s">
        <v>416</v>
      </c>
      <c r="D226" s="139">
        <f t="shared" si="25"/>
        <v>294</v>
      </c>
      <c r="E226" s="139">
        <f t="shared" si="25"/>
        <v>1.5959999999999999</v>
      </c>
      <c r="F226" s="140">
        <f t="shared" si="25"/>
        <v>1.4279999999999999</v>
      </c>
      <c r="G226" s="140">
        <f t="shared" si="25"/>
        <v>1.2263999999999999</v>
      </c>
      <c r="H226" s="140">
        <f t="shared" si="25"/>
        <v>0.92399999999999993</v>
      </c>
      <c r="I226" s="140">
        <f t="shared" si="25"/>
        <v>0.84</v>
      </c>
    </row>
    <row r="227" spans="1:9" x14ac:dyDescent="0.3">
      <c r="A227" s="129" t="s">
        <v>238</v>
      </c>
      <c r="B227" s="16" t="s">
        <v>33</v>
      </c>
      <c r="C227" s="1" t="s">
        <v>417</v>
      </c>
      <c r="D227" s="139"/>
      <c r="E227" s="139"/>
      <c r="F227" s="140"/>
      <c r="G227" s="140"/>
      <c r="H227" s="140"/>
      <c r="I227" s="140"/>
    </row>
    <row r="228" spans="1:9" ht="15" thickBot="1" x14ac:dyDescent="0.35">
      <c r="A228" s="152"/>
      <c r="B228" s="136"/>
      <c r="D228" s="153"/>
      <c r="E228" s="153"/>
      <c r="F228" s="154"/>
      <c r="G228" s="154"/>
      <c r="H228" s="154"/>
      <c r="I228" s="154"/>
    </row>
    <row r="229" spans="1:9" ht="15" thickBot="1" x14ac:dyDescent="0.35">
      <c r="A229" s="432" t="s">
        <v>418</v>
      </c>
      <c r="B229" s="433"/>
      <c r="C229" s="433"/>
      <c r="D229" s="433"/>
      <c r="E229" s="433"/>
      <c r="F229" s="433"/>
      <c r="G229" s="433"/>
      <c r="H229" s="433"/>
      <c r="I229" s="434"/>
    </row>
    <row r="230" spans="1:9" x14ac:dyDescent="0.3">
      <c r="A230" s="137" t="s">
        <v>5</v>
      </c>
      <c r="B230" s="137" t="s">
        <v>256</v>
      </c>
      <c r="C230" s="137" t="s">
        <v>244</v>
      </c>
      <c r="D230" s="151" t="s">
        <v>362</v>
      </c>
      <c r="E230" s="151" t="s">
        <v>101</v>
      </c>
      <c r="F230" s="151" t="s">
        <v>102</v>
      </c>
      <c r="G230" s="151" t="s">
        <v>103</v>
      </c>
      <c r="H230" s="151" t="s">
        <v>104</v>
      </c>
      <c r="I230" s="151" t="s">
        <v>105</v>
      </c>
    </row>
    <row r="231" spans="1:9" x14ac:dyDescent="0.3">
      <c r="A231" s="17" t="s">
        <v>4</v>
      </c>
      <c r="B231" s="16" t="s">
        <v>29</v>
      </c>
      <c r="C231" s="1" t="s">
        <v>402</v>
      </c>
      <c r="D231" s="139">
        <v>165</v>
      </c>
      <c r="E231" s="139">
        <v>0.77</v>
      </c>
      <c r="F231" s="140">
        <v>0.67</v>
      </c>
      <c r="G231" s="140">
        <v>0.54</v>
      </c>
      <c r="H231" s="140">
        <v>0.41</v>
      </c>
      <c r="I231" s="140">
        <v>0.36</v>
      </c>
    </row>
    <row r="232" spans="1:9" x14ac:dyDescent="0.3">
      <c r="A232" s="17" t="s">
        <v>4</v>
      </c>
      <c r="B232" s="16" t="s">
        <v>31</v>
      </c>
      <c r="C232" s="1" t="s">
        <v>403</v>
      </c>
      <c r="D232" s="139">
        <v>165</v>
      </c>
      <c r="E232" s="139">
        <v>0.73</v>
      </c>
      <c r="F232" s="140">
        <v>0.63</v>
      </c>
      <c r="G232" s="140">
        <v>0.5</v>
      </c>
      <c r="H232" s="140">
        <v>0.37</v>
      </c>
      <c r="I232" s="140">
        <v>0.33</v>
      </c>
    </row>
    <row r="233" spans="1:9" x14ac:dyDescent="0.3">
      <c r="A233" s="17" t="s">
        <v>4</v>
      </c>
      <c r="B233" s="16" t="s">
        <v>35</v>
      </c>
      <c r="C233" s="1" t="s">
        <v>404</v>
      </c>
      <c r="D233" s="139">
        <v>175</v>
      </c>
      <c r="E233" s="139">
        <v>0.95</v>
      </c>
      <c r="F233" s="140">
        <v>0.85</v>
      </c>
      <c r="G233" s="140">
        <v>0.73</v>
      </c>
      <c r="H233" s="140">
        <v>0.55000000000000004</v>
      </c>
      <c r="I233" s="140">
        <v>0.5</v>
      </c>
    </row>
    <row r="234" spans="1:9" x14ac:dyDescent="0.3">
      <c r="A234" s="17" t="s">
        <v>4</v>
      </c>
      <c r="B234" s="16" t="s">
        <v>33</v>
      </c>
      <c r="C234" s="1" t="s">
        <v>405</v>
      </c>
      <c r="D234" s="139">
        <v>175</v>
      </c>
      <c r="E234" s="139">
        <v>0.95</v>
      </c>
      <c r="F234" s="140">
        <v>0.85</v>
      </c>
      <c r="G234" s="140">
        <v>0.73</v>
      </c>
      <c r="H234" s="140">
        <v>0.55000000000000004</v>
      </c>
      <c r="I234" s="140">
        <v>0.5</v>
      </c>
    </row>
    <row r="235" spans="1:9" x14ac:dyDescent="0.3">
      <c r="A235" s="17" t="s">
        <v>69</v>
      </c>
      <c r="B235" s="16" t="s">
        <v>29</v>
      </c>
      <c r="C235" s="1" t="s">
        <v>406</v>
      </c>
      <c r="D235" s="139">
        <v>165</v>
      </c>
      <c r="E235" s="139">
        <v>0.77</v>
      </c>
      <c r="F235" s="140">
        <v>0.67</v>
      </c>
      <c r="G235" s="140">
        <v>0.54</v>
      </c>
      <c r="H235" s="140">
        <v>0.41</v>
      </c>
      <c r="I235" s="140">
        <v>0.36</v>
      </c>
    </row>
    <row r="236" spans="1:9" x14ac:dyDescent="0.3">
      <c r="A236" s="17" t="s">
        <v>69</v>
      </c>
      <c r="B236" s="16" t="s">
        <v>31</v>
      </c>
      <c r="C236" s="1" t="s">
        <v>407</v>
      </c>
      <c r="D236" s="139">
        <v>165</v>
      </c>
      <c r="E236" s="139">
        <v>0.73</v>
      </c>
      <c r="F236" s="140">
        <v>0.63</v>
      </c>
      <c r="G236" s="140">
        <v>0.5</v>
      </c>
      <c r="H236" s="140">
        <v>0.37</v>
      </c>
      <c r="I236" s="140">
        <v>0.33</v>
      </c>
    </row>
    <row r="237" spans="1:9" x14ac:dyDescent="0.3">
      <c r="A237" s="17" t="s">
        <v>69</v>
      </c>
      <c r="B237" s="16" t="s">
        <v>35</v>
      </c>
      <c r="C237" s="1" t="s">
        <v>408</v>
      </c>
      <c r="D237" s="139">
        <v>175</v>
      </c>
      <c r="E237" s="139">
        <v>0.95</v>
      </c>
      <c r="F237" s="140">
        <v>0.85</v>
      </c>
      <c r="G237" s="140">
        <v>0.73</v>
      </c>
      <c r="H237" s="140">
        <v>0.55000000000000004</v>
      </c>
      <c r="I237" s="140">
        <v>0.5</v>
      </c>
    </row>
    <row r="238" spans="1:9" x14ac:dyDescent="0.3">
      <c r="A238" s="17" t="s">
        <v>69</v>
      </c>
      <c r="B238" s="16" t="s">
        <v>33</v>
      </c>
      <c r="C238" s="1" t="s">
        <v>409</v>
      </c>
      <c r="D238" s="139">
        <v>175</v>
      </c>
      <c r="E238" s="139">
        <v>0.95</v>
      </c>
      <c r="F238" s="140">
        <v>0.85</v>
      </c>
      <c r="G238" s="140">
        <v>0.73</v>
      </c>
      <c r="H238" s="140">
        <v>0.55000000000000004</v>
      </c>
      <c r="I238" s="140">
        <v>0.5</v>
      </c>
    </row>
    <row r="239" spans="1:9" x14ac:dyDescent="0.3">
      <c r="A239" s="129" t="s">
        <v>50</v>
      </c>
      <c r="B239" s="16" t="s">
        <v>29</v>
      </c>
      <c r="C239" s="1" t="s">
        <v>410</v>
      </c>
      <c r="D239" s="139">
        <v>198</v>
      </c>
      <c r="E239" s="139">
        <v>0.92399999999999993</v>
      </c>
      <c r="F239" s="140">
        <v>0.80400000000000005</v>
      </c>
      <c r="G239" s="140">
        <v>0.64800000000000002</v>
      </c>
      <c r="H239" s="140">
        <v>0.49199999999999994</v>
      </c>
      <c r="I239" s="140">
        <v>0.432</v>
      </c>
    </row>
    <row r="240" spans="1:9" x14ac:dyDescent="0.3">
      <c r="A240" s="129" t="s">
        <v>50</v>
      </c>
      <c r="B240" s="16" t="s">
        <v>31</v>
      </c>
      <c r="C240" s="1" t="s">
        <v>411</v>
      </c>
      <c r="D240" s="139">
        <v>198</v>
      </c>
      <c r="E240" s="139">
        <v>0.876</v>
      </c>
      <c r="F240" s="140">
        <v>0.75600000000000001</v>
      </c>
      <c r="G240" s="140">
        <v>0.6</v>
      </c>
      <c r="H240" s="140">
        <v>0.44400000000000001</v>
      </c>
      <c r="I240" s="140">
        <v>0.39600000000000002</v>
      </c>
    </row>
    <row r="241" spans="1:9" x14ac:dyDescent="0.3">
      <c r="A241" s="129" t="s">
        <v>50</v>
      </c>
      <c r="B241" s="16" t="s">
        <v>35</v>
      </c>
      <c r="C241" s="1" t="s">
        <v>412</v>
      </c>
      <c r="D241" s="139">
        <v>210</v>
      </c>
      <c r="E241" s="139">
        <v>1.1399999999999999</v>
      </c>
      <c r="F241" s="140">
        <v>1.02</v>
      </c>
      <c r="G241" s="140">
        <v>0.876</v>
      </c>
      <c r="H241" s="140">
        <v>0.66</v>
      </c>
      <c r="I241" s="140">
        <v>0.6</v>
      </c>
    </row>
    <row r="242" spans="1:9" x14ac:dyDescent="0.3">
      <c r="A242" s="129" t="s">
        <v>50</v>
      </c>
      <c r="B242" s="16" t="s">
        <v>33</v>
      </c>
      <c r="C242" s="1" t="s">
        <v>413</v>
      </c>
      <c r="D242" s="139">
        <v>210</v>
      </c>
      <c r="E242" s="139">
        <v>1.1399999999999999</v>
      </c>
      <c r="F242" s="140">
        <v>1.02</v>
      </c>
      <c r="G242" s="140">
        <v>0.876</v>
      </c>
      <c r="H242" s="140">
        <v>0.66</v>
      </c>
      <c r="I242" s="140">
        <v>0.6</v>
      </c>
    </row>
    <row r="243" spans="1:9" x14ac:dyDescent="0.3">
      <c r="A243" s="129" t="s">
        <v>238</v>
      </c>
      <c r="B243" s="16" t="s">
        <v>29</v>
      </c>
      <c r="C243" s="1" t="s">
        <v>414</v>
      </c>
      <c r="D243" s="139">
        <v>198</v>
      </c>
      <c r="E243" s="139">
        <v>0.92399999999999993</v>
      </c>
      <c r="F243" s="140">
        <v>0.80400000000000005</v>
      </c>
      <c r="G243" s="140">
        <v>0.64800000000000002</v>
      </c>
      <c r="H243" s="140">
        <v>0.49199999999999994</v>
      </c>
      <c r="I243" s="140">
        <v>0.432</v>
      </c>
    </row>
    <row r="244" spans="1:9" x14ac:dyDescent="0.3">
      <c r="A244" s="129" t="s">
        <v>238</v>
      </c>
      <c r="B244" s="16" t="s">
        <v>31</v>
      </c>
      <c r="C244" s="1" t="s">
        <v>415</v>
      </c>
      <c r="D244" s="139">
        <v>198</v>
      </c>
      <c r="E244" s="139">
        <v>0.876</v>
      </c>
      <c r="F244" s="140">
        <v>0.75600000000000001</v>
      </c>
      <c r="G244" s="140">
        <v>0.6</v>
      </c>
      <c r="H244" s="140">
        <v>0.44400000000000001</v>
      </c>
      <c r="I244" s="140">
        <v>0.39600000000000002</v>
      </c>
    </row>
    <row r="245" spans="1:9" x14ac:dyDescent="0.3">
      <c r="A245" s="129" t="s">
        <v>238</v>
      </c>
      <c r="B245" s="16" t="s">
        <v>35</v>
      </c>
      <c r="C245" s="1" t="s">
        <v>416</v>
      </c>
      <c r="D245" s="139">
        <v>210</v>
      </c>
      <c r="E245" s="139">
        <v>1.1399999999999999</v>
      </c>
      <c r="F245" s="140">
        <v>1.02</v>
      </c>
      <c r="G245" s="140">
        <v>0.876</v>
      </c>
      <c r="H245" s="140">
        <v>0.66</v>
      </c>
      <c r="I245" s="140">
        <v>0.6</v>
      </c>
    </row>
    <row r="246" spans="1:9" x14ac:dyDescent="0.3">
      <c r="A246" s="129" t="s">
        <v>238</v>
      </c>
      <c r="B246" s="16" t="s">
        <v>33</v>
      </c>
      <c r="C246" s="1" t="s">
        <v>417</v>
      </c>
      <c r="D246" s="139">
        <v>210</v>
      </c>
      <c r="E246" s="139">
        <v>1.1399999999999999</v>
      </c>
      <c r="F246" s="140">
        <v>1.02</v>
      </c>
      <c r="G246" s="140">
        <v>0.876</v>
      </c>
      <c r="H246" s="140">
        <v>0.66</v>
      </c>
      <c r="I246" s="140">
        <v>0.6</v>
      </c>
    </row>
  </sheetData>
  <mergeCells count="6">
    <mergeCell ref="A229:I229"/>
    <mergeCell ref="A210:I210"/>
    <mergeCell ref="A208:I208"/>
    <mergeCell ref="A5:D5"/>
    <mergeCell ref="A135:I135"/>
    <mergeCell ref="A93:G9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ABCA-82BA-4AA9-8821-E66B600F4E43}">
  <sheetPr codeName="Hoja1">
    <tabColor rgb="FF92D050"/>
    <pageSetUpPr fitToPage="1"/>
  </sheetPr>
  <dimension ref="A1:AG182"/>
  <sheetViews>
    <sheetView showRuler="0" topLeftCell="M74" zoomScale="80" zoomScaleNormal="80" zoomScaleSheetLayoutView="80" workbookViewId="0">
      <selection activeCell="V79" sqref="V79"/>
    </sheetView>
  </sheetViews>
  <sheetFormatPr baseColWidth="10" defaultColWidth="11.44140625" defaultRowHeight="15.6" x14ac:dyDescent="0.3"/>
  <cols>
    <col min="1" max="1" width="9.109375" style="313" customWidth="1"/>
    <col min="2" max="2" width="14.88671875" style="313" customWidth="1"/>
    <col min="3" max="3" width="15" style="313" customWidth="1"/>
    <col min="4" max="4" width="12.88671875" style="313" customWidth="1"/>
    <col min="5" max="5" width="12.44140625" style="313" customWidth="1"/>
    <col min="6" max="6" width="12.5546875" style="313" customWidth="1"/>
    <col min="7" max="7" width="10" style="313" customWidth="1"/>
    <col min="8" max="8" width="12.5546875" style="313" customWidth="1"/>
    <col min="9" max="9" width="17" style="313" customWidth="1"/>
    <col min="10" max="11" width="12.88671875" style="313" customWidth="1"/>
    <col min="12" max="12" width="7.109375" style="313" customWidth="1"/>
    <col min="13" max="13" width="8.109375" style="313" customWidth="1"/>
    <col min="14" max="14" width="4.88671875" style="313" customWidth="1"/>
    <col min="15" max="15" width="29.33203125" style="302" customWidth="1"/>
    <col min="16" max="16" width="21.44140625" style="302" customWidth="1"/>
    <col min="17" max="17" width="10" style="302" customWidth="1"/>
    <col min="18" max="18" width="29.109375" style="302" customWidth="1"/>
    <col min="19" max="19" width="30.109375" style="302" customWidth="1"/>
    <col min="20" max="20" width="13.6640625" style="302" customWidth="1"/>
    <col min="21" max="21" width="11.44140625" style="302" customWidth="1"/>
    <col min="22" max="22" width="32.88671875" style="302" customWidth="1"/>
    <col min="23" max="23" width="6" style="292" customWidth="1"/>
    <col min="24" max="26" width="11.44140625" style="292" customWidth="1"/>
    <col min="27" max="16384" width="11.44140625" style="292"/>
  </cols>
  <sheetData>
    <row r="1" spans="1:33" x14ac:dyDescent="0.3">
      <c r="A1" s="286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397"/>
      <c r="M1" s="397"/>
      <c r="N1" s="289"/>
      <c r="O1" s="290"/>
      <c r="P1" s="290"/>
      <c r="Q1" s="290"/>
      <c r="R1" s="290"/>
      <c r="S1" s="290"/>
      <c r="T1" s="290"/>
      <c r="U1" s="290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</row>
    <row r="2" spans="1:33" x14ac:dyDescent="0.3">
      <c r="A2" s="286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8"/>
      <c r="M2" s="288"/>
      <c r="N2" s="289"/>
      <c r="O2" s="293"/>
      <c r="P2" s="290"/>
      <c r="Q2" s="290"/>
      <c r="R2" s="290"/>
      <c r="S2" s="290"/>
      <c r="T2" s="290"/>
      <c r="U2" s="290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</row>
    <row r="3" spans="1:33" ht="23.25" customHeight="1" x14ac:dyDescent="0.3">
      <c r="A3" s="287"/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397"/>
      <c r="M3" s="397"/>
      <c r="N3" s="289"/>
      <c r="O3" s="290"/>
      <c r="P3" s="290"/>
      <c r="Q3" s="290"/>
      <c r="R3" s="290"/>
      <c r="S3" s="290"/>
      <c r="T3" s="290"/>
      <c r="U3" s="290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</row>
    <row r="4" spans="1:33" ht="33" thickBot="1" x14ac:dyDescent="0.75">
      <c r="A4" s="294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397"/>
      <c r="M4" s="397"/>
      <c r="N4" s="296"/>
      <c r="O4" s="290"/>
      <c r="P4" s="290"/>
      <c r="Q4" s="290"/>
      <c r="R4" s="290"/>
      <c r="S4" s="290"/>
      <c r="T4" s="290"/>
      <c r="U4" s="290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</row>
    <row r="5" spans="1:33" ht="33" thickBot="1" x14ac:dyDescent="0.35">
      <c r="A5" s="391" t="s">
        <v>400</v>
      </c>
      <c r="B5" s="391"/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297"/>
      <c r="O5" s="290"/>
      <c r="P5" s="290"/>
      <c r="Q5" s="290"/>
      <c r="R5" s="290"/>
      <c r="S5" s="290"/>
      <c r="T5" s="290"/>
      <c r="U5" s="290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</row>
    <row r="6" spans="1:33" ht="47.25" customHeight="1" x14ac:dyDescent="0.7">
      <c r="A6" s="295"/>
      <c r="B6" s="295"/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296"/>
      <c r="O6" s="290"/>
      <c r="P6" s="290"/>
      <c r="Q6" s="290"/>
      <c r="R6" s="290"/>
      <c r="S6" s="290"/>
      <c r="T6" s="290"/>
      <c r="U6" s="290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</row>
    <row r="7" spans="1:33" ht="32.4" x14ac:dyDescent="0.7">
      <c r="A7" s="295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6"/>
      <c r="O7" s="290"/>
      <c r="P7" s="290"/>
      <c r="Q7" s="290"/>
      <c r="R7" s="290"/>
      <c r="S7" s="290"/>
      <c r="T7" s="290"/>
      <c r="U7" s="290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291"/>
      <c r="AG7" s="291"/>
    </row>
    <row r="8" spans="1:33" ht="32.4" x14ac:dyDescent="0.7">
      <c r="A8" s="295"/>
      <c r="B8" s="295"/>
      <c r="C8" s="295"/>
      <c r="D8" s="295"/>
      <c r="E8" s="295"/>
      <c r="F8" s="295"/>
      <c r="G8" s="295"/>
      <c r="H8" s="295"/>
      <c r="I8" s="295"/>
      <c r="J8" s="295"/>
      <c r="K8" s="295"/>
      <c r="L8" s="295"/>
      <c r="M8" s="295"/>
      <c r="N8" s="296"/>
      <c r="O8" s="290"/>
      <c r="P8" s="290"/>
      <c r="Q8" s="290"/>
      <c r="R8" s="290"/>
      <c r="S8" s="290"/>
      <c r="T8" s="290"/>
      <c r="U8" s="290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</row>
    <row r="9" spans="1:33" ht="32.4" x14ac:dyDescent="0.7">
      <c r="A9" s="295"/>
      <c r="B9" s="295"/>
      <c r="C9" s="295"/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6"/>
      <c r="O9" s="290"/>
      <c r="P9" s="290"/>
      <c r="Q9" s="290"/>
      <c r="R9" s="290"/>
      <c r="S9" s="290"/>
      <c r="T9" s="290"/>
      <c r="U9" s="290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</row>
    <row r="10" spans="1:33" ht="32.4" x14ac:dyDescent="0.7">
      <c r="A10" s="295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6"/>
      <c r="O10" s="290"/>
      <c r="P10" s="290"/>
      <c r="Q10" s="290"/>
      <c r="R10" s="290"/>
      <c r="S10" s="290"/>
      <c r="T10" s="290"/>
      <c r="U10" s="290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</row>
    <row r="11" spans="1:33" ht="32.4" x14ac:dyDescent="0.7">
      <c r="A11" s="295"/>
      <c r="B11" s="295"/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6"/>
      <c r="O11" s="290"/>
      <c r="P11" s="290"/>
      <c r="Q11" s="290"/>
      <c r="R11" s="290"/>
      <c r="S11" s="290"/>
      <c r="T11" s="290"/>
      <c r="U11" s="290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1"/>
    </row>
    <row r="12" spans="1:33" ht="32.4" x14ac:dyDescent="0.7">
      <c r="A12" s="295"/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6"/>
      <c r="O12" s="290"/>
      <c r="P12" s="290"/>
      <c r="Q12" s="290"/>
      <c r="R12" s="290"/>
      <c r="S12" s="290"/>
      <c r="T12" s="290"/>
      <c r="U12" s="290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</row>
    <row r="13" spans="1:33" ht="32.4" x14ac:dyDescent="0.7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295"/>
      <c r="N13" s="296"/>
      <c r="O13" s="290"/>
      <c r="P13" s="290"/>
      <c r="Q13" s="290"/>
      <c r="R13" s="290"/>
      <c r="S13" s="290"/>
      <c r="T13" s="290"/>
      <c r="U13" s="290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</row>
    <row r="14" spans="1:33" ht="32.4" x14ac:dyDescent="0.7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6"/>
      <c r="O14" s="290"/>
      <c r="P14" s="290"/>
      <c r="Q14" s="290"/>
      <c r="R14" s="290"/>
      <c r="S14" s="290"/>
      <c r="T14" s="290"/>
      <c r="U14" s="290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</row>
    <row r="15" spans="1:33" ht="32.4" x14ac:dyDescent="0.7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296"/>
      <c r="O15" s="290"/>
      <c r="P15" s="290"/>
      <c r="Q15" s="290"/>
      <c r="R15" s="290"/>
      <c r="S15" s="290"/>
      <c r="T15" s="290"/>
      <c r="U15" s="290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</row>
    <row r="16" spans="1:33" ht="32.4" x14ac:dyDescent="0.7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6"/>
      <c r="O16" s="290"/>
      <c r="P16" s="290"/>
      <c r="Q16" s="290"/>
      <c r="R16" s="290"/>
      <c r="S16" s="290"/>
      <c r="T16" s="290"/>
      <c r="U16" s="290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</row>
    <row r="17" spans="1:33" ht="32.4" x14ac:dyDescent="0.7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6"/>
      <c r="O17" s="290"/>
      <c r="P17" s="290"/>
      <c r="Q17" s="290"/>
      <c r="R17" s="290"/>
      <c r="S17" s="290"/>
      <c r="T17" s="290"/>
      <c r="U17" s="290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</row>
    <row r="18" spans="1:33" ht="32.4" x14ac:dyDescent="0.7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6"/>
      <c r="O18" s="290"/>
      <c r="P18" s="290"/>
      <c r="Q18" s="290"/>
      <c r="R18" s="290"/>
      <c r="S18" s="290"/>
      <c r="T18" s="290"/>
      <c r="U18" s="290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</row>
    <row r="19" spans="1:33" ht="32.4" x14ac:dyDescent="0.7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6"/>
      <c r="O19" s="290"/>
      <c r="P19" s="290"/>
      <c r="Q19" s="290"/>
      <c r="R19" s="290"/>
      <c r="S19" s="290"/>
      <c r="T19" s="290"/>
      <c r="U19" s="290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</row>
    <row r="20" spans="1:33" ht="32.4" x14ac:dyDescent="0.7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6"/>
      <c r="O20" s="290"/>
      <c r="P20" s="290"/>
      <c r="Q20" s="290"/>
      <c r="R20" s="290"/>
      <c r="S20" s="290"/>
      <c r="T20" s="290"/>
      <c r="U20" s="290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</row>
    <row r="21" spans="1:33" ht="32.4" x14ac:dyDescent="0.7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290"/>
      <c r="P21" s="290"/>
      <c r="Q21" s="290"/>
      <c r="R21" s="290"/>
      <c r="S21" s="290"/>
      <c r="T21" s="290"/>
      <c r="U21" s="290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</row>
    <row r="22" spans="1:33" ht="33" thickBot="1" x14ac:dyDescent="0.7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290"/>
      <c r="P22" s="290"/>
      <c r="Q22" s="290"/>
      <c r="R22" s="290"/>
      <c r="S22" s="290"/>
      <c r="T22" s="290"/>
      <c r="U22" s="290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</row>
    <row r="23" spans="1:33" ht="33" thickBot="1" x14ac:dyDescent="0.35">
      <c r="A23" s="390" t="s">
        <v>106</v>
      </c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2"/>
      <c r="N23" s="297"/>
      <c r="O23" s="290"/>
      <c r="P23" s="290"/>
      <c r="Q23" s="290"/>
      <c r="R23" s="290"/>
      <c r="S23" s="290"/>
      <c r="T23" s="290"/>
      <c r="U23" s="290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</row>
    <row r="24" spans="1:33" ht="29.25" customHeight="1" x14ac:dyDescent="0.3">
      <c r="A24" s="298"/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9"/>
      <c r="O24" s="290"/>
      <c r="P24" s="290"/>
      <c r="Q24" s="290"/>
      <c r="R24" s="290"/>
      <c r="S24" s="290"/>
      <c r="T24" s="290"/>
      <c r="U24" s="290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</row>
    <row r="25" spans="1:33" ht="18" x14ac:dyDescent="0.3">
      <c r="A25" s="298"/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300"/>
      <c r="O25" s="290"/>
      <c r="P25" s="290"/>
      <c r="Q25" s="290"/>
      <c r="R25" s="290"/>
      <c r="S25" s="290"/>
      <c r="T25" s="290"/>
      <c r="U25" s="290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</row>
    <row r="26" spans="1:33" ht="17.25" customHeight="1" x14ac:dyDescent="0.3">
      <c r="A26" s="301"/>
      <c r="B26" s="301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0"/>
      <c r="O26" s="290"/>
      <c r="P26" s="290"/>
      <c r="Q26" s="290"/>
      <c r="R26" s="290"/>
      <c r="V26" s="303"/>
      <c r="W26" s="303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</row>
    <row r="27" spans="1:33" x14ac:dyDescent="0.3">
      <c r="A27" s="301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4"/>
      <c r="O27" s="290"/>
      <c r="P27" s="290"/>
      <c r="Q27" s="290"/>
      <c r="R27" s="290"/>
      <c r="V27" s="303"/>
      <c r="W27" s="303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</row>
    <row r="28" spans="1:33" x14ac:dyDescent="0.3">
      <c r="A28" s="301"/>
      <c r="B28" s="301"/>
      <c r="C28" s="301"/>
      <c r="D28" s="301"/>
      <c r="E28" s="301"/>
      <c r="F28" s="301"/>
      <c r="G28" s="301"/>
      <c r="H28" s="305"/>
      <c r="I28" s="305"/>
      <c r="J28" s="301"/>
      <c r="K28" s="301"/>
      <c r="L28" s="301"/>
      <c r="M28" s="301"/>
      <c r="N28" s="304"/>
      <c r="O28" s="290"/>
      <c r="P28" s="290"/>
      <c r="Q28" s="290"/>
      <c r="R28" s="290"/>
      <c r="V28" s="303"/>
      <c r="W28" s="303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</row>
    <row r="29" spans="1:33" ht="16.8" x14ac:dyDescent="0.3">
      <c r="A29" s="306"/>
      <c r="B29" s="301"/>
      <c r="C29" s="301"/>
      <c r="D29" s="301"/>
      <c r="E29" s="301"/>
      <c r="F29" s="301"/>
      <c r="G29" s="307"/>
      <c r="H29" s="307"/>
      <c r="I29" s="308"/>
      <c r="J29" s="398" t="s">
        <v>380</v>
      </c>
      <c r="K29" s="399"/>
      <c r="L29" s="307"/>
      <c r="M29" s="309"/>
      <c r="N29" s="304"/>
      <c r="O29" s="290"/>
      <c r="P29" s="290"/>
      <c r="Q29" s="290"/>
      <c r="R29" s="290"/>
      <c r="V29" s="303"/>
      <c r="W29" s="303"/>
      <c r="X29" s="291"/>
      <c r="Y29" s="291"/>
      <c r="Z29" s="291"/>
      <c r="AA29" s="291"/>
      <c r="AB29" s="291"/>
      <c r="AC29" s="291"/>
      <c r="AD29" s="291"/>
      <c r="AE29" s="291"/>
      <c r="AF29" s="291"/>
      <c r="AG29" s="291"/>
    </row>
    <row r="30" spans="1:33" s="313" customFormat="1" ht="17.399999999999999" thickBot="1" x14ac:dyDescent="0.35">
      <c r="A30" s="306"/>
      <c r="B30" s="306"/>
      <c r="C30" s="306"/>
      <c r="D30" s="306"/>
      <c r="E30" s="306"/>
      <c r="F30" s="306"/>
      <c r="G30" s="307"/>
      <c r="H30" s="307"/>
      <c r="I30" s="310" t="s">
        <v>297</v>
      </c>
      <c r="J30" s="400"/>
      <c r="K30" s="401"/>
      <c r="L30" s="307"/>
      <c r="M30" s="309"/>
      <c r="N30" s="311"/>
      <c r="O30" s="302"/>
      <c r="P30" s="302"/>
      <c r="Q30" s="302"/>
      <c r="R30" s="302"/>
      <c r="S30" s="302"/>
      <c r="T30" s="302"/>
      <c r="U30" s="302"/>
      <c r="V30" s="303"/>
      <c r="W30" s="303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</row>
    <row r="31" spans="1:33" s="313" customFormat="1" ht="19.2" x14ac:dyDescent="0.45">
      <c r="A31" s="306"/>
      <c r="B31" s="306"/>
      <c r="C31" s="306"/>
      <c r="D31" s="306"/>
      <c r="E31" s="306"/>
      <c r="F31" s="306"/>
      <c r="G31" s="307"/>
      <c r="H31" s="314"/>
      <c r="I31" s="315"/>
      <c r="J31" s="316"/>
      <c r="K31" s="317"/>
      <c r="L31" s="307"/>
      <c r="M31" s="309"/>
      <c r="N31" s="311"/>
      <c r="O31" s="302"/>
      <c r="P31" s="302"/>
      <c r="Q31" s="302"/>
      <c r="R31" s="302"/>
      <c r="S31" s="302"/>
      <c r="T31" s="302"/>
      <c r="U31" s="302"/>
      <c r="V31" s="303"/>
      <c r="W31" s="303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</row>
    <row r="32" spans="1:33" s="313" customFormat="1" ht="16.8" x14ac:dyDescent="0.3">
      <c r="A32" s="306"/>
      <c r="B32" s="306"/>
      <c r="C32" s="306"/>
      <c r="D32" s="306"/>
      <c r="E32" s="306"/>
      <c r="F32" s="306"/>
      <c r="G32" s="307"/>
      <c r="H32" s="307"/>
      <c r="I32" s="308"/>
      <c r="J32" s="398" t="s">
        <v>20</v>
      </c>
      <c r="K32" s="399"/>
      <c r="L32" s="307"/>
      <c r="M32" s="309"/>
      <c r="N32" s="311"/>
      <c r="O32" s="302"/>
      <c r="P32" s="302"/>
      <c r="Q32" s="302"/>
      <c r="R32" s="302"/>
      <c r="S32" s="302"/>
      <c r="T32" s="290"/>
      <c r="U32" s="290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</row>
    <row r="33" spans="1:33" s="313" customFormat="1" ht="17.399999999999999" thickBot="1" x14ac:dyDescent="0.35">
      <c r="A33" s="306"/>
      <c r="B33" s="306"/>
      <c r="C33" s="306"/>
      <c r="D33" s="306"/>
      <c r="E33" s="306"/>
      <c r="F33" s="306"/>
      <c r="G33" s="314"/>
      <c r="H33" s="307"/>
      <c r="I33" s="310" t="s">
        <v>15</v>
      </c>
      <c r="J33" s="400"/>
      <c r="K33" s="401"/>
      <c r="L33" s="307"/>
      <c r="M33" s="309"/>
      <c r="N33" s="311"/>
      <c r="O33" s="318" t="s">
        <v>168</v>
      </c>
      <c r="P33" s="319"/>
      <c r="Q33" s="302"/>
      <c r="R33" s="302"/>
      <c r="S33" s="402" t="s">
        <v>386</v>
      </c>
      <c r="T33" s="403"/>
      <c r="U33" s="290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</row>
    <row r="34" spans="1:33" s="313" customFormat="1" ht="19.2" x14ac:dyDescent="0.45">
      <c r="A34" s="306"/>
      <c r="B34" s="306"/>
      <c r="C34" s="306"/>
      <c r="D34" s="306"/>
      <c r="E34" s="306"/>
      <c r="F34" s="306"/>
      <c r="G34" s="307"/>
      <c r="H34" s="306"/>
      <c r="I34" s="315"/>
      <c r="J34" s="322"/>
      <c r="K34" s="322"/>
      <c r="L34" s="307"/>
      <c r="M34" s="309"/>
      <c r="N34" s="311"/>
      <c r="O34" s="323" t="s">
        <v>7</v>
      </c>
      <c r="P34" s="323" t="str">
        <f>J29</f>
        <v>Juarez</v>
      </c>
      <c r="Q34" s="302"/>
      <c r="R34" s="302"/>
      <c r="S34" s="324" t="s">
        <v>388</v>
      </c>
      <c r="T34" s="324">
        <f>MATCH($P$38,'Sucursal, Aduana, Proveedor'!A103:A112,0)</f>
        <v>1</v>
      </c>
      <c r="U34" s="290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</row>
    <row r="35" spans="1:33" s="313" customFormat="1" ht="16.8" x14ac:dyDescent="0.3">
      <c r="A35" s="314"/>
      <c r="B35" s="301"/>
      <c r="C35" s="301"/>
      <c r="D35" s="301"/>
      <c r="E35" s="301"/>
      <c r="F35" s="301"/>
      <c r="G35" s="307"/>
      <c r="H35" s="307"/>
      <c r="I35" s="308"/>
      <c r="J35" s="398" t="s">
        <v>380</v>
      </c>
      <c r="K35" s="399"/>
      <c r="L35" s="307"/>
      <c r="M35" s="325"/>
      <c r="N35" s="311"/>
      <c r="O35" s="324" t="s">
        <v>42</v>
      </c>
      <c r="P35" s="324" t="str">
        <f>J35</f>
        <v>Juarez</v>
      </c>
      <c r="Q35" s="302"/>
      <c r="R35" s="302"/>
      <c r="S35" s="324" t="s">
        <v>389</v>
      </c>
      <c r="T35" s="324">
        <f>MATCH($O$39,'Sucursal, Aduana, Proveedor'!A102:D102,0)</f>
        <v>4</v>
      </c>
      <c r="U35" s="290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</row>
    <row r="36" spans="1:33" s="313" customFormat="1" ht="17.399999999999999" thickBot="1" x14ac:dyDescent="0.35">
      <c r="A36" s="306"/>
      <c r="B36" s="301"/>
      <c r="C36" s="301"/>
      <c r="D36" s="301"/>
      <c r="E36" s="301"/>
      <c r="F36" s="301"/>
      <c r="G36" s="306"/>
      <c r="H36" s="307"/>
      <c r="I36" s="310" t="s">
        <v>299</v>
      </c>
      <c r="J36" s="400"/>
      <c r="K36" s="401"/>
      <c r="L36" s="307"/>
      <c r="M36" s="325"/>
      <c r="N36" s="326"/>
      <c r="O36" s="323" t="s">
        <v>5</v>
      </c>
      <c r="P36" s="323" t="str">
        <f>J32</f>
        <v>UR</v>
      </c>
      <c r="Q36" s="302"/>
      <c r="R36" s="302"/>
      <c r="S36" s="324" t="s">
        <v>321</v>
      </c>
      <c r="T36" s="327" t="str">
        <f>INDEX('Sucursal, Aduana, Proveedor'!A103:D112,MATCH($P$38,'Sucursal, Aduana, Proveedor'!A103:A112,0),MATCH($O$39,'Sucursal, Aduana, Proveedor'!A102:D102,0))</f>
        <v>MARON</v>
      </c>
      <c r="U36" s="290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</row>
    <row r="37" spans="1:33" s="313" customFormat="1" ht="19.2" x14ac:dyDescent="0.45">
      <c r="A37" s="306"/>
      <c r="B37" s="301"/>
      <c r="C37" s="301"/>
      <c r="D37" s="301"/>
      <c r="E37" s="301"/>
      <c r="F37" s="301"/>
      <c r="G37" s="307"/>
      <c r="H37" s="306"/>
      <c r="I37" s="315"/>
      <c r="J37" s="322"/>
      <c r="K37" s="322"/>
      <c r="L37" s="307"/>
      <c r="M37" s="325"/>
      <c r="N37" s="326"/>
      <c r="O37" s="324" t="s">
        <v>317</v>
      </c>
      <c r="P37" s="324"/>
      <c r="Q37" s="290"/>
      <c r="R37" s="290"/>
      <c r="S37" s="290"/>
      <c r="T37" s="290"/>
      <c r="U37" s="290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</row>
    <row r="38" spans="1:33" s="313" customFormat="1" ht="16.8" x14ac:dyDescent="0.3">
      <c r="A38" s="306"/>
      <c r="B38" s="301"/>
      <c r="C38" s="301"/>
      <c r="D38" s="301"/>
      <c r="E38" s="301"/>
      <c r="F38" s="301"/>
      <c r="G38" s="307"/>
      <c r="H38" s="307"/>
      <c r="I38" s="308"/>
      <c r="J38" s="398" t="s">
        <v>29</v>
      </c>
      <c r="K38" s="399"/>
      <c r="L38" s="307"/>
      <c r="M38" s="325"/>
      <c r="N38" s="326"/>
      <c r="O38" s="323" t="s">
        <v>6</v>
      </c>
      <c r="P38" s="323" t="str">
        <f>J38</f>
        <v>El Paso</v>
      </c>
      <c r="Q38" s="290"/>
      <c r="R38" s="290"/>
      <c r="S38" s="402" t="s">
        <v>401</v>
      </c>
      <c r="T38" s="403"/>
      <c r="U38" s="290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</row>
    <row r="39" spans="1:33" s="313" customFormat="1" ht="17.399999999999999" thickBot="1" x14ac:dyDescent="0.35">
      <c r="A39" s="306"/>
      <c r="B39" s="301"/>
      <c r="C39" s="301"/>
      <c r="D39" s="301"/>
      <c r="E39" s="301"/>
      <c r="F39" s="301"/>
      <c r="G39" s="306"/>
      <c r="H39" s="307"/>
      <c r="I39" s="328" t="s">
        <v>298</v>
      </c>
      <c r="J39" s="400"/>
      <c r="K39" s="401"/>
      <c r="L39" s="307"/>
      <c r="M39" s="325"/>
      <c r="N39" s="326"/>
      <c r="O39" s="323" t="s">
        <v>194</v>
      </c>
      <c r="P39" s="323" t="str">
        <f>IF(P38='Sucursal, Aduana, Proveedor'!A103,'Sucursal, Aduana, Proveedor'!D103,(IF(P38='Sucursal, Aduana, Proveedor'!A104,'Sucursal, Aduana, Proveedor'!D104,(IF(P38='Sucursal, Aduana, Proveedor'!A105,'Sucursal, Aduana, Proveedor'!D105,(IF(P38='Sucursal, Aduana, Proveedor'!A106,'Sucursal, Aduana, Proveedor'!D106,(IF(P38='Sucursal, Aduana, Proveedor'!A107,'Sucursal, Aduana, Proveedor'!D107,(IF(P38='Sucursal, Aduana, Proveedor'!A108,'Sucursal, Aduana, Proveedor'!D108,(IF(P38='Sucursal, Aduana, Proveedor'!A109,'Sucursal, Aduana, Proveedor'!D109,(IF(P38='Sucursal, Aduana, Proveedor'!A110,'Sucursal, Aduana, Proveedor'!D110,(IF(P38='Sucursal, Aduana, Proveedor'!A111,'Sucursal, Aduana, Proveedor'!D111,(IF(P38='Sucursal, Aduana, Proveedor'!A112,'Sucursal, Aduana, Proveedor'!D112,"P/D")))))))))))))))))))</f>
        <v>MARON</v>
      </c>
      <c r="Q39" s="290"/>
      <c r="R39" s="290"/>
      <c r="S39" s="324" t="s">
        <v>388</v>
      </c>
      <c r="T39" s="324">
        <f>MATCH($P$38,'Sucursal, Aduana, Proveedor'!A103:A117,0)</f>
        <v>1</v>
      </c>
      <c r="U39" s="290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</row>
    <row r="40" spans="1:33" s="313" customFormat="1" x14ac:dyDescent="0.3">
      <c r="A40" s="306"/>
      <c r="B40" s="301"/>
      <c r="C40" s="301"/>
      <c r="D40" s="301"/>
      <c r="E40" s="301"/>
      <c r="F40" s="301"/>
      <c r="G40" s="307"/>
      <c r="H40" s="306"/>
      <c r="I40" s="306"/>
      <c r="J40" s="306"/>
      <c r="K40" s="306"/>
      <c r="L40" s="306"/>
      <c r="M40" s="325"/>
      <c r="N40" s="326"/>
      <c r="Q40" s="290"/>
      <c r="R40" s="290"/>
      <c r="S40" s="324" t="s">
        <v>389</v>
      </c>
      <c r="T40" s="324" t="e">
        <f>MATCH($O$39,'Sucursal, Aduana, Proveedor'!A107:D107,0)</f>
        <v>#N/A</v>
      </c>
      <c r="U40" s="290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</row>
    <row r="41" spans="1:33" s="313" customFormat="1" x14ac:dyDescent="0.3">
      <c r="A41" s="306"/>
      <c r="B41" s="301"/>
      <c r="C41" s="301"/>
      <c r="D41" s="301"/>
      <c r="E41" s="301"/>
      <c r="F41" s="301"/>
      <c r="G41" s="307"/>
      <c r="H41" s="306"/>
      <c r="I41" s="306"/>
      <c r="J41" s="306"/>
      <c r="K41" s="306"/>
      <c r="L41" s="306"/>
      <c r="M41" s="325"/>
      <c r="N41" s="326"/>
      <c r="O41" s="290"/>
      <c r="P41" s="290"/>
      <c r="Q41" s="290"/>
      <c r="R41" s="290"/>
      <c r="S41" s="324" t="s">
        <v>321</v>
      </c>
      <c r="T41" s="327" t="e">
        <f>INDEX('Sucursal, Aduana, Proveedor'!A108:D117,MATCH($P$38,'Sucursal, Aduana, Proveedor'!A108:A117,0),MATCH($O$39,'Sucursal, Aduana, Proveedor'!A107:D107,0))</f>
        <v>#N/A</v>
      </c>
      <c r="U41" s="290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</row>
    <row r="42" spans="1:33" s="313" customFormat="1" x14ac:dyDescent="0.3">
      <c r="A42" s="306"/>
      <c r="B42" s="301"/>
      <c r="C42" s="301"/>
      <c r="D42" s="301"/>
      <c r="E42" s="301"/>
      <c r="F42" s="301"/>
      <c r="G42" s="314"/>
      <c r="H42" s="306"/>
      <c r="I42" s="306"/>
      <c r="J42" s="306"/>
      <c r="K42" s="306"/>
      <c r="L42" s="306"/>
      <c r="M42" s="325"/>
      <c r="N42" s="326"/>
      <c r="O42" s="290"/>
      <c r="P42" s="290"/>
      <c r="Q42" s="290"/>
      <c r="R42" s="290"/>
      <c r="S42" s="290"/>
      <c r="T42" s="290"/>
      <c r="U42" s="290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</row>
    <row r="43" spans="1:33" s="313" customFormat="1" ht="16.2" thickBot="1" x14ac:dyDescent="0.35">
      <c r="A43" s="314"/>
      <c r="B43" s="301"/>
      <c r="C43" s="301"/>
      <c r="D43" s="301"/>
      <c r="E43" s="301"/>
      <c r="F43" s="301"/>
      <c r="G43" s="314"/>
      <c r="H43" s="306"/>
      <c r="I43" s="306"/>
      <c r="J43" s="306"/>
      <c r="K43" s="325"/>
      <c r="L43" s="306"/>
      <c r="M43" s="325"/>
      <c r="N43" s="326"/>
      <c r="O43" s="302"/>
      <c r="P43" s="302"/>
      <c r="Q43" s="302"/>
      <c r="R43" s="302"/>
      <c r="S43" s="302"/>
      <c r="T43" s="302"/>
      <c r="U43" s="290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</row>
    <row r="44" spans="1:33" s="313" customFormat="1" ht="30" thickBot="1" x14ac:dyDescent="0.35">
      <c r="A44" s="390" t="s">
        <v>148</v>
      </c>
      <c r="B44" s="391"/>
      <c r="C44" s="391"/>
      <c r="D44" s="391"/>
      <c r="E44" s="391"/>
      <c r="F44" s="391"/>
      <c r="G44" s="391"/>
      <c r="H44" s="391"/>
      <c r="I44" s="391"/>
      <c r="J44" s="391"/>
      <c r="K44" s="391"/>
      <c r="L44" s="391"/>
      <c r="M44" s="392"/>
      <c r="N44" s="326"/>
      <c r="O44" s="290"/>
      <c r="P44" s="290"/>
      <c r="Q44" s="290"/>
      <c r="R44" s="290"/>
      <c r="S44" s="290"/>
      <c r="T44" s="290"/>
      <c r="U44" s="290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</row>
    <row r="45" spans="1:33" ht="32.4" x14ac:dyDescent="0.3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299"/>
      <c r="O45" s="290"/>
      <c r="P45" s="290"/>
      <c r="Q45" s="290"/>
      <c r="R45" s="290"/>
      <c r="S45" s="290"/>
      <c r="T45" s="290"/>
      <c r="U45" s="290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</row>
    <row r="46" spans="1:33" x14ac:dyDescent="0.3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4"/>
      <c r="U46" s="290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</row>
    <row r="47" spans="1:33" x14ac:dyDescent="0.3">
      <c r="A47" s="301"/>
      <c r="B47" s="301"/>
      <c r="C47" s="301"/>
      <c r="D47" s="301"/>
      <c r="E47" s="301"/>
      <c r="F47" s="301"/>
      <c r="G47" s="301"/>
      <c r="H47" s="305"/>
      <c r="I47" s="305"/>
      <c r="J47" s="301"/>
      <c r="K47" s="301"/>
      <c r="L47" s="301"/>
      <c r="M47" s="301"/>
      <c r="N47" s="304"/>
      <c r="U47" s="290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</row>
    <row r="48" spans="1:33" x14ac:dyDescent="0.3">
      <c r="A48" s="306"/>
      <c r="B48" s="301"/>
      <c r="C48" s="301"/>
      <c r="D48" s="301"/>
      <c r="E48" s="301"/>
      <c r="F48" s="301"/>
      <c r="G48" s="307"/>
      <c r="H48" s="307"/>
      <c r="I48" s="307"/>
      <c r="J48" s="307"/>
      <c r="K48" s="301"/>
      <c r="L48" s="307"/>
      <c r="M48" s="309"/>
      <c r="N48" s="304"/>
      <c r="U48" s="290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</row>
    <row r="49" spans="1:33" s="313" customFormat="1" x14ac:dyDescent="0.3">
      <c r="A49" s="306"/>
      <c r="B49" s="306"/>
      <c r="C49" s="306"/>
      <c r="D49" s="306"/>
      <c r="E49" s="306"/>
      <c r="F49" s="306"/>
      <c r="G49" s="307"/>
      <c r="H49" s="307"/>
      <c r="I49" s="307"/>
      <c r="J49" s="307"/>
      <c r="K49" s="301"/>
      <c r="L49" s="307"/>
      <c r="M49" s="309"/>
      <c r="N49" s="311"/>
      <c r="O49" s="402" t="s">
        <v>227</v>
      </c>
      <c r="P49" s="403"/>
      <c r="Q49" s="290"/>
      <c r="R49" s="290"/>
      <c r="S49" s="402" t="s">
        <v>320</v>
      </c>
      <c r="T49" s="403"/>
      <c r="U49" s="290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</row>
    <row r="50" spans="1:33" s="313" customFormat="1" x14ac:dyDescent="0.3">
      <c r="A50" s="306"/>
      <c r="B50" s="306"/>
      <c r="C50" s="306"/>
      <c r="D50" s="306"/>
      <c r="E50" s="306"/>
      <c r="F50" s="306"/>
      <c r="G50" s="307"/>
      <c r="H50" s="307"/>
      <c r="I50" s="307"/>
      <c r="J50" s="307"/>
      <c r="K50" s="307"/>
      <c r="L50" s="307"/>
      <c r="M50" s="309"/>
      <c r="N50" s="311"/>
      <c r="O50" s="323" t="s">
        <v>7</v>
      </c>
      <c r="P50" s="323" t="str">
        <f>P34</f>
        <v>Juarez</v>
      </c>
      <c r="Q50" s="290"/>
      <c r="R50" s="290"/>
      <c r="S50" s="324" t="s">
        <v>390</v>
      </c>
      <c r="T50" s="324">
        <f>MATCH($P$54,'Fraccion Arancelaria'!$D$10:$D$119,0)</f>
        <v>3</v>
      </c>
      <c r="U50" s="290"/>
      <c r="V50" s="312"/>
      <c r="W50" s="312"/>
      <c r="X50" s="312"/>
      <c r="Y50" s="312"/>
      <c r="Z50" s="312"/>
      <c r="AA50" s="312"/>
      <c r="AB50" s="312"/>
      <c r="AC50" s="312"/>
      <c r="AD50" s="312"/>
      <c r="AE50" s="312"/>
      <c r="AF50" s="312"/>
      <c r="AG50" s="312"/>
    </row>
    <row r="51" spans="1:33" s="313" customFormat="1" ht="19.2" x14ac:dyDescent="0.3">
      <c r="A51" s="306"/>
      <c r="B51" s="306"/>
      <c r="C51" s="306"/>
      <c r="D51" s="306"/>
      <c r="E51" s="306"/>
      <c r="F51" s="306"/>
      <c r="G51" s="307"/>
      <c r="H51" s="314"/>
      <c r="I51" s="329"/>
      <c r="J51" s="413" t="str">
        <f>P53</f>
        <v>UR</v>
      </c>
      <c r="K51" s="414"/>
      <c r="L51" s="307"/>
      <c r="M51" s="309"/>
      <c r="N51" s="311"/>
      <c r="O51" s="323" t="s">
        <v>6</v>
      </c>
      <c r="P51" s="323" t="str">
        <f>P38</f>
        <v>El Paso</v>
      </c>
      <c r="Q51" s="290"/>
      <c r="R51" s="290"/>
      <c r="S51" s="324" t="s">
        <v>391</v>
      </c>
      <c r="T51" s="324">
        <f>MATCH($O$56,'Fraccion Arancelaria'!$D$9:E9,0)</f>
        <v>2</v>
      </c>
      <c r="U51" s="290"/>
      <c r="V51" s="312"/>
      <c r="W51" s="312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</row>
    <row r="52" spans="1:33" s="313" customFormat="1" ht="17.399999999999999" thickBot="1" x14ac:dyDescent="0.35">
      <c r="A52" s="306"/>
      <c r="B52" s="306"/>
      <c r="C52" s="306"/>
      <c r="D52" s="306"/>
      <c r="E52" s="306"/>
      <c r="F52" s="306"/>
      <c r="G52" s="314"/>
      <c r="H52" s="307"/>
      <c r="I52" s="310" t="s">
        <v>15</v>
      </c>
      <c r="J52" s="415"/>
      <c r="K52" s="416"/>
      <c r="L52" s="307"/>
      <c r="M52" s="309"/>
      <c r="N52" s="311"/>
      <c r="O52" s="323" t="s">
        <v>166</v>
      </c>
      <c r="P52" s="323" t="str">
        <f>P39</f>
        <v>MARON</v>
      </c>
      <c r="Q52" s="290"/>
      <c r="R52" s="290"/>
      <c r="S52" s="324" t="s">
        <v>321</v>
      </c>
      <c r="T52" s="327">
        <f>INDEX('Fraccion Arancelaria'!$D$10:$E$119,MATCH($P$54,'Fraccion Arancelaria'!$D$10:$D$119,0),2)</f>
        <v>0.15</v>
      </c>
      <c r="U52" s="290"/>
      <c r="V52" s="312"/>
      <c r="W52" s="312"/>
      <c r="X52" s="312"/>
      <c r="Y52" s="312"/>
      <c r="Z52" s="312"/>
      <c r="AA52" s="312"/>
      <c r="AB52" s="312"/>
      <c r="AC52" s="312"/>
      <c r="AD52" s="312"/>
      <c r="AE52" s="312"/>
      <c r="AF52" s="312"/>
      <c r="AG52" s="312"/>
    </row>
    <row r="53" spans="1:33" s="313" customFormat="1" ht="19.2" x14ac:dyDescent="0.45">
      <c r="A53" s="306"/>
      <c r="B53" s="306"/>
      <c r="C53" s="306"/>
      <c r="D53" s="306"/>
      <c r="E53" s="306"/>
      <c r="F53" s="306"/>
      <c r="G53" s="307"/>
      <c r="H53" s="307"/>
      <c r="I53" s="315"/>
      <c r="J53" s="316"/>
      <c r="K53" s="317"/>
      <c r="L53" s="307"/>
      <c r="M53" s="309"/>
      <c r="N53" s="311"/>
      <c r="O53" s="323" t="s">
        <v>5</v>
      </c>
      <c r="P53" s="323" t="str">
        <f>P36</f>
        <v>UR</v>
      </c>
      <c r="Q53" s="290"/>
      <c r="R53" s="290"/>
      <c r="S53" s="290"/>
      <c r="T53" s="290"/>
      <c r="U53" s="290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</row>
    <row r="54" spans="1:33" s="313" customFormat="1" ht="15.75" customHeight="1" x14ac:dyDescent="0.3">
      <c r="A54" s="314"/>
      <c r="B54" s="301"/>
      <c r="C54" s="301"/>
      <c r="D54" s="301"/>
      <c r="E54" s="301"/>
      <c r="F54" s="301"/>
      <c r="G54" s="307"/>
      <c r="H54" s="306"/>
      <c r="I54" s="308"/>
      <c r="J54" s="409" t="s">
        <v>114</v>
      </c>
      <c r="K54" s="410"/>
      <c r="L54" s="307"/>
      <c r="M54" s="325"/>
      <c r="N54" s="311"/>
      <c r="O54" s="323" t="s">
        <v>167</v>
      </c>
      <c r="P54" s="330" t="str">
        <f>J54</f>
        <v>Robot industrial para manipulación de mercancia con sus accesorios</v>
      </c>
      <c r="Q54" s="290"/>
      <c r="R54" s="290"/>
      <c r="S54" s="302"/>
      <c r="T54" s="302"/>
      <c r="U54" s="290"/>
      <c r="V54" s="312"/>
      <c r="W54" s="312"/>
      <c r="X54" s="312"/>
      <c r="Y54" s="312"/>
      <c r="Z54" s="312"/>
      <c r="AA54" s="312"/>
      <c r="AB54" s="312"/>
      <c r="AC54" s="312"/>
      <c r="AD54" s="312"/>
      <c r="AE54" s="312"/>
      <c r="AF54" s="312"/>
      <c r="AG54" s="312"/>
    </row>
    <row r="55" spans="1:33" s="313" customFormat="1" ht="16.5" customHeight="1" thickBot="1" x14ac:dyDescent="0.35">
      <c r="A55" s="306"/>
      <c r="B55" s="301"/>
      <c r="C55" s="301"/>
      <c r="D55" s="301"/>
      <c r="E55" s="301"/>
      <c r="F55" s="301"/>
      <c r="G55" s="306"/>
      <c r="H55" s="307"/>
      <c r="I55" s="310" t="s">
        <v>375</v>
      </c>
      <c r="J55" s="411"/>
      <c r="K55" s="412"/>
      <c r="L55" s="307"/>
      <c r="M55" s="325"/>
      <c r="N55" s="326"/>
      <c r="O55" s="323" t="s">
        <v>315</v>
      </c>
      <c r="P55" s="331">
        <f>J57</f>
        <v>123590</v>
      </c>
      <c r="Q55" s="290"/>
      <c r="R55" s="290"/>
      <c r="S55" s="290"/>
      <c r="T55" s="290"/>
      <c r="U55" s="290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</row>
    <row r="56" spans="1:33" s="313" customFormat="1" ht="16.5" customHeight="1" x14ac:dyDescent="0.45">
      <c r="A56" s="306"/>
      <c r="B56" s="301"/>
      <c r="C56" s="301"/>
      <c r="D56" s="301"/>
      <c r="E56" s="301"/>
      <c r="F56" s="301"/>
      <c r="G56" s="307"/>
      <c r="H56" s="307"/>
      <c r="I56" s="315"/>
      <c r="J56" s="322"/>
      <c r="K56" s="322"/>
      <c r="L56" s="307"/>
      <c r="M56" s="325"/>
      <c r="N56" s="326"/>
      <c r="O56" s="323" t="s">
        <v>322</v>
      </c>
      <c r="P56" s="332">
        <f>T52</f>
        <v>0.15</v>
      </c>
      <c r="Q56" s="302"/>
      <c r="R56" s="290"/>
      <c r="S56" s="290"/>
      <c r="T56" s="290"/>
      <c r="U56" s="290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</row>
    <row r="57" spans="1:33" s="313" customFormat="1" ht="16.8" x14ac:dyDescent="0.3">
      <c r="A57" s="306"/>
      <c r="B57" s="301"/>
      <c r="C57" s="301"/>
      <c r="D57" s="301"/>
      <c r="E57" s="301"/>
      <c r="F57" s="301"/>
      <c r="G57" s="307"/>
      <c r="H57" s="306"/>
      <c r="I57" s="308"/>
      <c r="J57" s="417">
        <v>123590</v>
      </c>
      <c r="K57" s="418"/>
      <c r="L57" s="307"/>
      <c r="M57" s="325"/>
      <c r="N57" s="326"/>
      <c r="O57" s="323" t="s">
        <v>228</v>
      </c>
      <c r="P57" s="333" t="str">
        <f>J60</f>
        <v>SI</v>
      </c>
      <c r="Q57" s="290"/>
      <c r="R57" s="290"/>
      <c r="S57" s="290"/>
      <c r="T57" s="290"/>
      <c r="U57" s="290"/>
      <c r="V57" s="312"/>
      <c r="W57" s="312"/>
      <c r="X57" s="312"/>
      <c r="Y57" s="312"/>
      <c r="Z57" s="312"/>
      <c r="AA57" s="312"/>
      <c r="AB57" s="312"/>
      <c r="AC57" s="312"/>
      <c r="AD57" s="312"/>
      <c r="AE57" s="312"/>
      <c r="AF57" s="312"/>
      <c r="AG57" s="312"/>
    </row>
    <row r="58" spans="1:33" s="313" customFormat="1" ht="17.399999999999999" thickBot="1" x14ac:dyDescent="0.35">
      <c r="A58" s="306"/>
      <c r="B58" s="301"/>
      <c r="C58" s="301"/>
      <c r="D58" s="301"/>
      <c r="E58" s="301"/>
      <c r="F58" s="301"/>
      <c r="G58" s="306"/>
      <c r="H58" s="307"/>
      <c r="I58" s="310" t="s">
        <v>324</v>
      </c>
      <c r="J58" s="419"/>
      <c r="K58" s="420"/>
      <c r="L58" s="307"/>
      <c r="M58" s="325"/>
      <c r="N58" s="326"/>
      <c r="O58" s="290"/>
      <c r="P58" s="290"/>
      <c r="Q58" s="290"/>
      <c r="R58" s="290"/>
      <c r="S58" s="290"/>
      <c r="T58" s="290"/>
      <c r="U58" s="290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  <c r="AG58" s="312"/>
    </row>
    <row r="59" spans="1:33" s="313" customFormat="1" ht="19.2" x14ac:dyDescent="0.45">
      <c r="A59" s="306"/>
      <c r="B59" s="301"/>
      <c r="C59" s="301"/>
      <c r="D59" s="301"/>
      <c r="E59" s="301"/>
      <c r="F59" s="301"/>
      <c r="G59" s="307"/>
      <c r="H59" s="307"/>
      <c r="I59" s="315"/>
      <c r="J59" s="322"/>
      <c r="K59" s="322"/>
      <c r="L59" s="307"/>
      <c r="M59" s="325"/>
      <c r="N59" s="326"/>
      <c r="O59" s="290"/>
      <c r="P59" s="290"/>
      <c r="Q59" s="290"/>
      <c r="R59" s="290"/>
      <c r="S59" s="290"/>
      <c r="T59" s="290"/>
      <c r="U59" s="290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  <c r="AG59" s="312"/>
    </row>
    <row r="60" spans="1:33" s="313" customFormat="1" ht="15.75" customHeight="1" x14ac:dyDescent="0.3">
      <c r="A60" s="306"/>
      <c r="B60" s="301"/>
      <c r="C60" s="301"/>
      <c r="D60" s="301"/>
      <c r="E60" s="301"/>
      <c r="F60" s="301"/>
      <c r="G60" s="307"/>
      <c r="H60" s="306"/>
      <c r="I60" s="308"/>
      <c r="J60" s="417" t="s">
        <v>146</v>
      </c>
      <c r="K60" s="418"/>
      <c r="L60" s="307"/>
      <c r="M60" s="325"/>
      <c r="N60" s="326"/>
      <c r="O60" s="290"/>
      <c r="P60" s="290"/>
      <c r="Q60" s="290"/>
      <c r="R60" s="290"/>
      <c r="S60" s="290"/>
      <c r="T60" s="290"/>
      <c r="U60" s="290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</row>
    <row r="61" spans="1:33" s="313" customFormat="1" ht="16.5" customHeight="1" thickBot="1" x14ac:dyDescent="0.35">
      <c r="A61" s="306"/>
      <c r="B61" s="301"/>
      <c r="C61" s="301"/>
      <c r="D61" s="301"/>
      <c r="E61" s="301"/>
      <c r="F61" s="301"/>
      <c r="G61" s="314"/>
      <c r="H61" s="306"/>
      <c r="I61" s="310" t="s">
        <v>8</v>
      </c>
      <c r="J61" s="419"/>
      <c r="K61" s="420"/>
      <c r="L61" s="306"/>
      <c r="M61" s="325"/>
      <c r="N61" s="326"/>
      <c r="O61" s="290"/>
      <c r="P61" s="290"/>
      <c r="Q61" s="290"/>
      <c r="R61" s="290"/>
      <c r="S61" s="290"/>
      <c r="T61" s="290"/>
      <c r="U61" s="290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</row>
    <row r="62" spans="1:33" s="313" customFormat="1" ht="19.2" x14ac:dyDescent="0.3">
      <c r="A62" s="306"/>
      <c r="B62" s="301"/>
      <c r="C62" s="301"/>
      <c r="D62" s="301"/>
      <c r="E62" s="301"/>
      <c r="F62" s="301"/>
      <c r="G62" s="314"/>
      <c r="H62" s="306"/>
      <c r="I62" s="308"/>
      <c r="J62" s="329"/>
      <c r="K62" s="329"/>
      <c r="L62" s="306"/>
      <c r="M62" s="325"/>
      <c r="N62" s="326"/>
      <c r="O62" s="290"/>
      <c r="P62" s="290"/>
      <c r="Q62" s="290"/>
      <c r="R62" s="290"/>
      <c r="S62" s="290"/>
      <c r="T62" s="290"/>
      <c r="U62" s="290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</row>
    <row r="63" spans="1:33" s="313" customFormat="1" ht="16.8" x14ac:dyDescent="0.3">
      <c r="A63" s="306"/>
      <c r="B63" s="301"/>
      <c r="C63" s="301"/>
      <c r="D63" s="301"/>
      <c r="E63" s="301"/>
      <c r="F63" s="301"/>
      <c r="G63" s="314"/>
      <c r="H63" s="306"/>
      <c r="I63" s="308"/>
      <c r="J63" s="421">
        <f>P56</f>
        <v>0.15</v>
      </c>
      <c r="K63" s="422"/>
      <c r="L63" s="306"/>
      <c r="M63" s="325"/>
      <c r="N63" s="326"/>
      <c r="O63" s="290"/>
      <c r="P63" s="290"/>
      <c r="Q63" s="290"/>
      <c r="R63" s="290" t="s">
        <v>323</v>
      </c>
      <c r="S63" s="290"/>
      <c r="T63" s="290"/>
      <c r="U63" s="290"/>
      <c r="V63" s="312"/>
      <c r="W63" s="312"/>
      <c r="X63" s="312"/>
      <c r="Y63" s="312"/>
      <c r="Z63" s="312"/>
      <c r="AA63" s="312"/>
      <c r="AB63" s="312"/>
      <c r="AC63" s="312"/>
      <c r="AD63" s="312"/>
      <c r="AE63" s="312"/>
      <c r="AF63" s="312"/>
      <c r="AG63" s="312"/>
    </row>
    <row r="64" spans="1:33" s="313" customFormat="1" ht="17.399999999999999" thickBot="1" x14ac:dyDescent="0.35">
      <c r="A64" s="314"/>
      <c r="B64" s="301"/>
      <c r="C64" s="301"/>
      <c r="D64" s="301"/>
      <c r="E64" s="301"/>
      <c r="F64" s="301"/>
      <c r="G64" s="314"/>
      <c r="H64" s="306"/>
      <c r="I64" s="310" t="s">
        <v>229</v>
      </c>
      <c r="J64" s="423"/>
      <c r="K64" s="424"/>
      <c r="L64" s="306"/>
      <c r="M64" s="325"/>
      <c r="N64" s="326"/>
      <c r="O64" s="290"/>
      <c r="P64" s="290"/>
      <c r="Q64" s="290"/>
      <c r="R64" s="290"/>
      <c r="S64" s="290"/>
      <c r="T64" s="290"/>
      <c r="U64" s="290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</row>
    <row r="65" spans="1:33" s="313" customFormat="1" x14ac:dyDescent="0.3">
      <c r="A65" s="314"/>
      <c r="B65" s="301"/>
      <c r="C65" s="301"/>
      <c r="D65" s="301"/>
      <c r="E65" s="301"/>
      <c r="F65" s="301"/>
      <c r="G65" s="314"/>
      <c r="H65" s="306"/>
      <c r="I65" s="306"/>
      <c r="J65" s="306"/>
      <c r="K65" s="325"/>
      <c r="L65" s="306"/>
      <c r="M65" s="325"/>
      <c r="N65" s="326"/>
      <c r="Q65" s="290"/>
      <c r="R65" s="290"/>
      <c r="S65" s="290"/>
      <c r="T65" s="290"/>
      <c r="U65" s="290"/>
      <c r="V65" s="312"/>
      <c r="W65" s="312"/>
      <c r="X65" s="312"/>
      <c r="Y65" s="312"/>
      <c r="Z65" s="312"/>
      <c r="AA65" s="312"/>
      <c r="AB65" s="312"/>
      <c r="AC65" s="312"/>
      <c r="AD65" s="312"/>
      <c r="AE65" s="312"/>
      <c r="AF65" s="312"/>
      <c r="AG65" s="312"/>
    </row>
    <row r="66" spans="1:33" s="313" customFormat="1" x14ac:dyDescent="0.3">
      <c r="A66" s="314"/>
      <c r="B66" s="301"/>
      <c r="C66" s="301"/>
      <c r="D66" s="301"/>
      <c r="E66" s="301"/>
      <c r="F66" s="301"/>
      <c r="G66" s="314"/>
      <c r="H66" s="306"/>
      <c r="I66" s="306"/>
      <c r="J66" s="306"/>
      <c r="K66" s="325"/>
      <c r="L66" s="306"/>
      <c r="M66" s="325"/>
      <c r="N66" s="326"/>
      <c r="Q66" s="290"/>
      <c r="R66" s="290"/>
      <c r="S66" s="290"/>
      <c r="T66" s="290"/>
      <c r="U66" s="290"/>
      <c r="V66" s="312"/>
      <c r="W66" s="312"/>
      <c r="X66" s="312"/>
      <c r="Y66" s="312"/>
      <c r="Z66" s="312"/>
      <c r="AA66" s="312"/>
      <c r="AB66" s="312"/>
      <c r="AC66" s="312"/>
      <c r="AD66" s="312"/>
      <c r="AE66" s="312"/>
      <c r="AF66" s="312"/>
      <c r="AG66" s="312"/>
    </row>
    <row r="67" spans="1:33" s="313" customFormat="1" ht="16.2" thickBot="1" x14ac:dyDescent="0.35">
      <c r="A67" s="305"/>
      <c r="B67" s="309"/>
      <c r="C67" s="334"/>
      <c r="D67" s="306"/>
      <c r="E67" s="306"/>
      <c r="F67" s="306"/>
      <c r="G67" s="306"/>
      <c r="H67" s="306"/>
      <c r="I67" s="309"/>
      <c r="J67" s="306"/>
      <c r="K67" s="314"/>
      <c r="L67" s="314"/>
      <c r="M67" s="325"/>
      <c r="N67" s="326"/>
      <c r="Q67" s="290"/>
      <c r="R67" s="290"/>
      <c r="S67" s="290"/>
      <c r="T67" s="290"/>
      <c r="U67" s="290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</row>
    <row r="68" spans="1:33" s="313" customFormat="1" ht="30" thickBot="1" x14ac:dyDescent="0.35">
      <c r="A68" s="390" t="s">
        <v>398</v>
      </c>
      <c r="B68" s="391"/>
      <c r="C68" s="391"/>
      <c r="D68" s="391"/>
      <c r="E68" s="391"/>
      <c r="F68" s="391"/>
      <c r="G68" s="391"/>
      <c r="H68" s="391"/>
      <c r="I68" s="391"/>
      <c r="J68" s="391"/>
      <c r="K68" s="391"/>
      <c r="L68" s="391"/>
      <c r="M68" s="392"/>
      <c r="N68" s="326"/>
      <c r="Q68" s="290"/>
      <c r="R68" s="290"/>
      <c r="S68" s="290"/>
      <c r="T68" s="290"/>
      <c r="U68" s="290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</row>
    <row r="69" spans="1:33" ht="24" customHeight="1" x14ac:dyDescent="0.3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9"/>
      <c r="O69" s="292"/>
      <c r="P69" s="292"/>
      <c r="Q69" s="290"/>
      <c r="R69" s="290"/>
      <c r="S69" s="290"/>
      <c r="T69" s="290"/>
      <c r="U69" s="290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</row>
    <row r="70" spans="1:33" ht="24" customHeight="1" x14ac:dyDescent="0.3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9"/>
      <c r="O70" s="292"/>
      <c r="P70" s="292"/>
      <c r="Q70" s="290"/>
      <c r="R70" s="290"/>
      <c r="S70" s="290"/>
      <c r="T70" s="290"/>
      <c r="U70" s="290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</row>
    <row r="71" spans="1:33" x14ac:dyDescent="0.3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4"/>
      <c r="O71" s="292"/>
      <c r="P71" s="292"/>
      <c r="S71" s="292"/>
      <c r="T71" s="292"/>
      <c r="U71" s="292"/>
      <c r="V71" s="292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</row>
    <row r="72" spans="1:33" x14ac:dyDescent="0.3">
      <c r="A72" s="301"/>
      <c r="B72" s="301"/>
      <c r="C72" s="301"/>
      <c r="D72" s="301"/>
      <c r="E72" s="301"/>
      <c r="F72" s="301"/>
      <c r="G72" s="301"/>
      <c r="H72" s="305"/>
      <c r="I72" s="301"/>
      <c r="J72" s="301"/>
      <c r="K72" s="301"/>
      <c r="L72" s="301"/>
      <c r="M72" s="301"/>
      <c r="N72" s="304"/>
      <c r="O72" s="292"/>
      <c r="P72" s="292"/>
      <c r="S72" s="292"/>
      <c r="T72" s="292"/>
      <c r="U72" s="292"/>
      <c r="V72" s="292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</row>
    <row r="73" spans="1:33" ht="21.75" customHeight="1" x14ac:dyDescent="0.3">
      <c r="A73" s="306"/>
      <c r="B73" s="301"/>
      <c r="C73" s="301"/>
      <c r="D73" s="301"/>
      <c r="E73" s="301"/>
      <c r="F73" s="301"/>
      <c r="G73" s="307"/>
      <c r="H73" s="307"/>
      <c r="I73" s="301"/>
      <c r="J73" s="301"/>
      <c r="K73" s="301"/>
      <c r="L73" s="307"/>
      <c r="M73" s="309"/>
      <c r="N73" s="304"/>
      <c r="O73" s="292"/>
      <c r="P73" s="292"/>
      <c r="S73" s="292"/>
      <c r="T73" s="292"/>
      <c r="U73" s="292"/>
      <c r="V73" s="292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</row>
    <row r="74" spans="1:33" s="313" customFormat="1" ht="16.8" x14ac:dyDescent="0.3">
      <c r="A74" s="306"/>
      <c r="B74" s="306"/>
      <c r="C74" s="306"/>
      <c r="D74" s="306"/>
      <c r="E74" s="306"/>
      <c r="F74" s="306"/>
      <c r="G74" s="307"/>
      <c r="H74" s="307"/>
      <c r="I74" s="308"/>
      <c r="J74" s="413" t="str">
        <f>S83</f>
        <v>UR</v>
      </c>
      <c r="K74" s="414"/>
      <c r="L74" s="307"/>
      <c r="M74" s="309"/>
      <c r="N74" s="311"/>
      <c r="Q74" s="302"/>
      <c r="R74" s="30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</row>
    <row r="75" spans="1:33" s="313" customFormat="1" ht="16.5" customHeight="1" thickBot="1" x14ac:dyDescent="0.35">
      <c r="A75" s="306"/>
      <c r="B75" s="306"/>
      <c r="C75" s="306"/>
      <c r="D75" s="306"/>
      <c r="E75" s="306"/>
      <c r="F75" s="306"/>
      <c r="G75" s="307"/>
      <c r="H75" s="307"/>
      <c r="I75" s="310" t="s">
        <v>394</v>
      </c>
      <c r="J75" s="415"/>
      <c r="K75" s="416"/>
      <c r="L75" s="307"/>
      <c r="M75" s="309"/>
      <c r="N75" s="311"/>
      <c r="Q75" s="302"/>
      <c r="R75" s="30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</row>
    <row r="76" spans="1:33" s="313" customFormat="1" ht="16.8" x14ac:dyDescent="0.4">
      <c r="A76" s="306"/>
      <c r="B76" s="306"/>
      <c r="C76" s="306"/>
      <c r="D76" s="306"/>
      <c r="E76" s="306"/>
      <c r="F76" s="306"/>
      <c r="G76" s="307"/>
      <c r="H76" s="307"/>
      <c r="I76" s="335"/>
      <c r="J76" s="315"/>
      <c r="K76" s="336"/>
      <c r="L76" s="307"/>
      <c r="M76" s="309"/>
      <c r="N76" s="311"/>
      <c r="Q76" s="302"/>
      <c r="R76" s="30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</row>
    <row r="77" spans="1:33" s="313" customFormat="1" ht="16.8" x14ac:dyDescent="0.3">
      <c r="A77" s="306"/>
      <c r="B77" s="306"/>
      <c r="C77" s="306"/>
      <c r="D77" s="306"/>
      <c r="E77" s="306"/>
      <c r="F77" s="306"/>
      <c r="G77" s="314"/>
      <c r="H77" s="307"/>
      <c r="I77" s="308"/>
      <c r="J77" s="413" t="str">
        <f>S80</f>
        <v>Juarez</v>
      </c>
      <c r="K77" s="414"/>
      <c r="L77" s="307"/>
      <c r="M77" s="309"/>
      <c r="N77" s="311"/>
      <c r="Q77" s="302"/>
      <c r="R77" s="30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</row>
    <row r="78" spans="1:33" s="313" customFormat="1" ht="16.5" customHeight="1" thickBot="1" x14ac:dyDescent="0.35">
      <c r="A78" s="306"/>
      <c r="B78" s="306"/>
      <c r="C78" s="306"/>
      <c r="D78" s="306"/>
      <c r="E78" s="306"/>
      <c r="F78" s="306"/>
      <c r="G78" s="307"/>
      <c r="H78" s="307"/>
      <c r="I78" s="310" t="s">
        <v>255</v>
      </c>
      <c r="J78" s="415"/>
      <c r="K78" s="416"/>
      <c r="L78" s="307"/>
      <c r="M78" s="309"/>
      <c r="N78" s="311"/>
      <c r="O78" s="320" t="s">
        <v>246</v>
      </c>
      <c r="P78" s="321"/>
      <c r="Q78" s="290"/>
      <c r="R78" s="337" t="s">
        <v>247</v>
      </c>
      <c r="S78" s="321"/>
      <c r="U78" s="337" t="s">
        <v>422</v>
      </c>
      <c r="V78" s="321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</row>
    <row r="79" spans="1:33" s="313" customFormat="1" ht="16.8" x14ac:dyDescent="0.4">
      <c r="A79" s="314"/>
      <c r="B79" s="301"/>
      <c r="C79" s="301"/>
      <c r="D79" s="301"/>
      <c r="E79" s="301"/>
      <c r="F79" s="301"/>
      <c r="G79" s="307"/>
      <c r="H79" s="307"/>
      <c r="I79" s="315"/>
      <c r="J79" s="315"/>
      <c r="K79" s="315"/>
      <c r="L79" s="307"/>
      <c r="M79" s="325"/>
      <c r="N79" s="311"/>
      <c r="O79" s="323" t="s">
        <v>7</v>
      </c>
      <c r="P79" s="323" t="str">
        <f>P50</f>
        <v>Juarez</v>
      </c>
      <c r="Q79" s="290"/>
      <c r="R79" s="323" t="s">
        <v>7</v>
      </c>
      <c r="S79" s="323" t="str">
        <f>P79</f>
        <v>Juarez</v>
      </c>
      <c r="U79" s="323" t="s">
        <v>340</v>
      </c>
      <c r="V79" s="324">
        <f>MATCH($P$84,'Fletes Proveedor'!C95:C128,0)</f>
        <v>25</v>
      </c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</row>
    <row r="80" spans="1:33" s="313" customFormat="1" ht="16.8" x14ac:dyDescent="0.3">
      <c r="A80" s="306"/>
      <c r="B80" s="301"/>
      <c r="C80" s="301"/>
      <c r="D80" s="301"/>
      <c r="E80" s="301"/>
      <c r="F80" s="301"/>
      <c r="G80" s="306"/>
      <c r="H80" s="307"/>
      <c r="I80" s="308"/>
      <c r="J80" s="425" t="str">
        <f>S84</f>
        <v>Robot industrial para manipulación de mercancia con sus accesorios</v>
      </c>
      <c r="K80" s="426"/>
      <c r="L80" s="307"/>
      <c r="M80" s="325"/>
      <c r="N80" s="326"/>
      <c r="O80" s="323" t="s">
        <v>6</v>
      </c>
      <c r="P80" s="323" t="str">
        <f>P51</f>
        <v>El Paso</v>
      </c>
      <c r="Q80" s="290"/>
      <c r="R80" s="324" t="s">
        <v>42</v>
      </c>
      <c r="S80" s="324" t="str">
        <f>P35</f>
        <v>Juarez</v>
      </c>
      <c r="U80" s="323" t="s">
        <v>341</v>
      </c>
      <c r="V80" s="324">
        <f>MATCH($P$87,'Fletes Proveedor'!D94:G94,0)</f>
        <v>2</v>
      </c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</row>
    <row r="81" spans="1:33" s="313" customFormat="1" ht="16.5" customHeight="1" thickBot="1" x14ac:dyDescent="0.35">
      <c r="A81" s="306"/>
      <c r="B81" s="301"/>
      <c r="C81" s="301"/>
      <c r="D81" s="301"/>
      <c r="E81" s="301"/>
      <c r="F81" s="301"/>
      <c r="G81" s="307"/>
      <c r="H81" s="307"/>
      <c r="I81" s="310" t="s">
        <v>375</v>
      </c>
      <c r="J81" s="427"/>
      <c r="K81" s="428"/>
      <c r="L81" s="307"/>
      <c r="M81" s="325"/>
      <c r="N81" s="326"/>
      <c r="O81" s="323" t="s">
        <v>166</v>
      </c>
      <c r="P81" s="323" t="str">
        <f>P52</f>
        <v>MARON</v>
      </c>
      <c r="Q81" s="290"/>
      <c r="R81" s="323" t="s">
        <v>6</v>
      </c>
      <c r="S81" s="323" t="str">
        <f>P80</f>
        <v>El Paso</v>
      </c>
      <c r="U81" s="323" t="s">
        <v>321</v>
      </c>
      <c r="V81" s="338">
        <f>INDEX('Fletes Proveedor'!D95:G128,MATCH($P$84,'Fletes Proveedor'!C95:C128,0),MATCH($P$87,'Fletes Proveedor'!D94:G94,0))</f>
        <v>2764</v>
      </c>
      <c r="W81" s="312"/>
      <c r="X81" s="312"/>
      <c r="Y81" s="312"/>
      <c r="Z81" s="312"/>
      <c r="AA81" s="312"/>
      <c r="AB81" s="312"/>
      <c r="AC81" s="312"/>
      <c r="AD81" s="312"/>
      <c r="AE81" s="312"/>
      <c r="AF81" s="312"/>
      <c r="AG81" s="312"/>
    </row>
    <row r="82" spans="1:33" s="313" customFormat="1" ht="15.75" customHeight="1" x14ac:dyDescent="0.4">
      <c r="A82" s="306"/>
      <c r="B82" s="301"/>
      <c r="C82" s="301"/>
      <c r="D82" s="301"/>
      <c r="E82" s="301"/>
      <c r="F82" s="301"/>
      <c r="G82" s="307"/>
      <c r="H82" s="307"/>
      <c r="I82" s="315"/>
      <c r="J82" s="315"/>
      <c r="K82" s="315"/>
      <c r="L82" s="307"/>
      <c r="M82" s="325"/>
      <c r="N82" s="326"/>
      <c r="O82" s="323" t="s">
        <v>5</v>
      </c>
      <c r="P82" s="323" t="str">
        <f>P53</f>
        <v>UR</v>
      </c>
      <c r="Q82" s="290"/>
      <c r="R82" s="323" t="s">
        <v>166</v>
      </c>
      <c r="S82" s="323" t="str">
        <f>P81</f>
        <v>MARON</v>
      </c>
      <c r="U82" s="339"/>
      <c r="V82" s="290"/>
      <c r="W82" s="312"/>
      <c r="X82" s="312"/>
      <c r="Y82" s="312"/>
      <c r="Z82" s="312"/>
      <c r="AA82" s="312"/>
      <c r="AB82" s="312"/>
      <c r="AC82" s="312"/>
      <c r="AD82" s="312"/>
      <c r="AE82" s="312"/>
      <c r="AF82" s="312"/>
      <c r="AG82" s="312"/>
    </row>
    <row r="83" spans="1:33" s="313" customFormat="1" ht="17.399999999999999" thickBot="1" x14ac:dyDescent="0.35">
      <c r="A83" s="306"/>
      <c r="B83" s="301"/>
      <c r="C83" s="301"/>
      <c r="D83" s="301"/>
      <c r="E83" s="301"/>
      <c r="F83" s="301"/>
      <c r="G83" s="306"/>
      <c r="H83" s="307"/>
      <c r="I83" s="308"/>
      <c r="J83" s="398" t="s">
        <v>433</v>
      </c>
      <c r="K83" s="399"/>
      <c r="L83" s="307"/>
      <c r="M83" s="325"/>
      <c r="N83" s="326"/>
      <c r="O83" s="323" t="s">
        <v>167</v>
      </c>
      <c r="P83" s="340" t="str">
        <f>P54</f>
        <v>Robot industrial para manipulación de mercancia con sus accesorios</v>
      </c>
      <c r="Q83" s="290"/>
      <c r="R83" s="323" t="s">
        <v>5</v>
      </c>
      <c r="S83" s="323" t="str">
        <f>P82</f>
        <v>UR</v>
      </c>
      <c r="U83" s="339"/>
      <c r="V83" s="290"/>
      <c r="W83" s="312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</row>
    <row r="84" spans="1:33" s="313" customFormat="1" ht="15.75" customHeight="1" thickBot="1" x14ac:dyDescent="0.35">
      <c r="A84" s="306"/>
      <c r="B84" s="301"/>
      <c r="C84" s="301"/>
      <c r="D84" s="301"/>
      <c r="E84" s="301"/>
      <c r="F84" s="301"/>
      <c r="G84" s="307"/>
      <c r="H84" s="307"/>
      <c r="I84" s="310" t="s">
        <v>239</v>
      </c>
      <c r="J84" s="400"/>
      <c r="K84" s="401"/>
      <c r="L84" s="307"/>
      <c r="M84" s="325"/>
      <c r="N84" s="326"/>
      <c r="O84" s="341" t="s">
        <v>244</v>
      </c>
      <c r="P84" s="342" t="str">
        <f>CONCATENATE(P82,P80)</f>
        <v>UREl Paso</v>
      </c>
      <c r="Q84" s="290"/>
      <c r="R84" s="323" t="s">
        <v>167</v>
      </c>
      <c r="S84" s="343" t="str">
        <f>P83</f>
        <v>Robot industrial para manipulación de mercancia con sus accesorios</v>
      </c>
      <c r="U84" s="339"/>
      <c r="V84" s="290"/>
      <c r="W84" s="312"/>
      <c r="X84" s="312"/>
      <c r="Y84" s="312"/>
      <c r="Z84" s="312"/>
      <c r="AA84" s="312"/>
      <c r="AB84" s="312"/>
      <c r="AC84" s="312"/>
      <c r="AD84" s="312"/>
      <c r="AE84" s="312"/>
      <c r="AF84" s="312"/>
      <c r="AG84" s="312"/>
    </row>
    <row r="85" spans="1:33" s="313" customFormat="1" ht="15.75" customHeight="1" thickBot="1" x14ac:dyDescent="0.45">
      <c r="A85" s="306"/>
      <c r="B85" s="301"/>
      <c r="C85" s="301"/>
      <c r="D85" s="301"/>
      <c r="E85" s="301"/>
      <c r="F85" s="301"/>
      <c r="G85" s="307"/>
      <c r="H85" s="309"/>
      <c r="I85" s="315"/>
      <c r="J85" s="315"/>
      <c r="K85" s="315"/>
      <c r="L85" s="307"/>
      <c r="M85" s="325"/>
      <c r="N85" s="326"/>
      <c r="O85" s="344" t="s">
        <v>233</v>
      </c>
      <c r="P85" s="345" t="str">
        <f>IF(J83&gt;5000,"DEDICADO",IF(J86&gt;7,"DEDICADO",IF(J83="DEDICADO","DEDICADO","CONSOLIDADO")))</f>
        <v>DEDICADO</v>
      </c>
      <c r="Q85" s="302"/>
      <c r="R85" s="341" t="s">
        <v>244</v>
      </c>
      <c r="S85" s="342" t="str">
        <f>IF((S81="Altamira"),"Altamirasucursales",IF((S81="Manzanillo"),"Manzanillosucursales",(CONCATENATE(S81,S79))))</f>
        <v>El PasoJuarez</v>
      </c>
      <c r="U85" s="337" t="s">
        <v>423</v>
      </c>
      <c r="V85" s="321"/>
      <c r="W85" s="312"/>
      <c r="X85" s="312"/>
      <c r="Y85" s="312"/>
      <c r="Z85" s="312"/>
      <c r="AA85" s="312"/>
      <c r="AB85" s="312"/>
      <c r="AC85" s="312"/>
      <c r="AD85" s="312"/>
      <c r="AE85" s="312"/>
      <c r="AF85" s="312"/>
      <c r="AG85" s="312"/>
    </row>
    <row r="86" spans="1:33" s="313" customFormat="1" ht="16.8" x14ac:dyDescent="0.3">
      <c r="A86" s="306"/>
      <c r="B86" s="301"/>
      <c r="C86" s="301"/>
      <c r="D86" s="301"/>
      <c r="E86" s="301"/>
      <c r="F86" s="301"/>
      <c r="G86" s="307"/>
      <c r="H86" s="306"/>
      <c r="I86" s="308"/>
      <c r="J86" s="398">
        <v>3</v>
      </c>
      <c r="K86" s="399"/>
      <c r="L86" s="307"/>
      <c r="M86" s="325"/>
      <c r="N86" s="326"/>
      <c r="O86" s="344" t="s">
        <v>338</v>
      </c>
      <c r="P86" s="346" t="str">
        <f>IF(AND(J83&lt;200,J86=1),"pequeñaimportacion",P85)</f>
        <v>DEDICADO</v>
      </c>
      <c r="Q86" s="302"/>
      <c r="R86" s="344" t="s">
        <v>233</v>
      </c>
      <c r="S86" s="345" t="str">
        <f>IF(P85="DEDICADO","DEDICADO","CONSOLIDADO")</f>
        <v>DEDICADO</v>
      </c>
      <c r="T86" s="290"/>
      <c r="U86" s="324" t="s">
        <v>340</v>
      </c>
      <c r="V86" s="324">
        <f>MATCH($S$85,'Fletes Impo'!C79:C104,0)</f>
        <v>2</v>
      </c>
      <c r="W86" s="312"/>
      <c r="X86" s="312"/>
      <c r="Y86" s="312"/>
      <c r="Z86" s="312"/>
      <c r="AA86" s="312"/>
      <c r="AB86" s="312"/>
      <c r="AC86" s="312"/>
      <c r="AD86" s="312"/>
      <c r="AE86" s="312"/>
      <c r="AF86" s="312"/>
      <c r="AG86" s="312"/>
    </row>
    <row r="87" spans="1:33" s="313" customFormat="1" ht="16.5" customHeight="1" thickBot="1" x14ac:dyDescent="0.35">
      <c r="A87" s="306"/>
      <c r="B87" s="301"/>
      <c r="C87" s="301"/>
      <c r="D87" s="301"/>
      <c r="E87" s="301"/>
      <c r="F87" s="301"/>
      <c r="G87" s="307"/>
      <c r="H87" s="306"/>
      <c r="I87" s="310" t="s">
        <v>393</v>
      </c>
      <c r="J87" s="400"/>
      <c r="K87" s="401"/>
      <c r="L87" s="307"/>
      <c r="M87" s="325"/>
      <c r="N87" s="326"/>
      <c r="O87" s="323" t="s">
        <v>1</v>
      </c>
      <c r="P87" s="347" t="str">
        <f>IF(AND(P85="DEDICADO",P89="Embalaje MIR250"),'Fletes Proveedor'!$A$13,IF(AND(P85="DEDICADO",P89="Embalaje MIR600"),'Fletes Proveedor'!$A$12,IF(AND(P85="DEDICADO",P89="Embalaje MIR1350"),'Fletes Proveedor'!$A$11,IF(AND(P85="DEDICADO",P89="Embalaje URe"),'Fletes Proveedor'!$A$12,IF(AND(P85="DEDICADO",P89="Embalaje UR20"),'Fletes Proveedor'!$A$11,IF(AND(P85="DEDICADO",P89&gt;9000),'Fletes Proveedor'!$A$11,IF(AND(P85="DEDICADO",P89&lt;10000,P89&gt;7000),'Fletes Proveedor'!$A$12,IF(AND(P85="DEDICADO",P89&lt;8000,P89&gt;2000),'Fletes Proveedor'!$A$13,'Fletes Proveedor'!$A$14))))))))</f>
        <v>RABON 20´</v>
      </c>
      <c r="Q87" s="302"/>
      <c r="R87" s="344" t="s">
        <v>338</v>
      </c>
      <c r="S87" s="346" t="str">
        <f>IF(AND(J83&lt;200,J86=1),"pequeñaimportacion",S86)</f>
        <v>DEDICADO</v>
      </c>
      <c r="T87" s="290"/>
      <c r="U87" s="324" t="s">
        <v>341</v>
      </c>
      <c r="V87" s="324">
        <f>MATCH($S$88,'Fletes Impo'!D78:G78,0)</f>
        <v>1</v>
      </c>
      <c r="Z87" s="312"/>
      <c r="AA87" s="312"/>
      <c r="AB87" s="312"/>
      <c r="AC87" s="312"/>
      <c r="AD87" s="312"/>
      <c r="AE87" s="312"/>
      <c r="AF87" s="312"/>
      <c r="AG87" s="312"/>
    </row>
    <row r="88" spans="1:33" s="313" customFormat="1" x14ac:dyDescent="0.3">
      <c r="A88" s="306"/>
      <c r="B88" s="301"/>
      <c r="C88" s="301"/>
      <c r="D88" s="301"/>
      <c r="E88" s="301"/>
      <c r="F88" s="301"/>
      <c r="G88" s="314"/>
      <c r="H88" s="306"/>
      <c r="I88" s="301"/>
      <c r="J88" s="301"/>
      <c r="K88" s="301"/>
      <c r="L88" s="306"/>
      <c r="M88" s="325"/>
      <c r="N88" s="326"/>
      <c r="O88" s="323" t="s">
        <v>242</v>
      </c>
      <c r="P88" s="323">
        <f>J86</f>
        <v>3</v>
      </c>
      <c r="Q88" s="290"/>
      <c r="R88" s="323" t="s">
        <v>1</v>
      </c>
      <c r="S88" s="347" t="str">
        <f>IF(AND(S86="DEDICADO",S90="MIR250"),'Fletes Proveedor'!$A$13,IF(AND(S86="DEDICADO",S90="MIR600"),'Fletes Proveedor'!$A$12,IF(AND(S86="DEDICADO",S90="MIR1350"),'Fletes Proveedor'!$A$11,IF(AND(S86="DEDICADO",S90&gt;15000),'Fletes Proveedor'!$A$11,IF(AND(S86="DEDICADO",S90&lt;15000,S90&gt;7000),'Fletes Proveedor'!$A$12,IF(AND(S86="DEDICADO",S90&lt;7000,S90&gt;2000),'Fletes Proveedor'!$A$13,'Fletes Proveedor'!$A$14))))))</f>
        <v>FTL 53´</v>
      </c>
      <c r="T88" s="290"/>
      <c r="U88" s="324" t="s">
        <v>321</v>
      </c>
      <c r="V88" s="338">
        <f>INDEX('Fletes Impo'!D79:G104,MATCH($S$85,'Fletes Impo'!C79:C104,0),MATCH($S$88,'Fletes Impo'!D78:G78,0))</f>
        <v>150</v>
      </c>
      <c r="Z88" s="312"/>
      <c r="AA88" s="312"/>
      <c r="AB88" s="312"/>
      <c r="AC88" s="312"/>
      <c r="AD88" s="312"/>
      <c r="AE88" s="312"/>
      <c r="AF88" s="312"/>
      <c r="AG88" s="312"/>
    </row>
    <row r="89" spans="1:33" s="313" customFormat="1" x14ac:dyDescent="0.3">
      <c r="A89" s="306"/>
      <c r="B89" s="301"/>
      <c r="C89" s="301"/>
      <c r="D89" s="301"/>
      <c r="E89" s="301"/>
      <c r="F89" s="301"/>
      <c r="G89" s="314"/>
      <c r="H89" s="306"/>
      <c r="I89" s="301"/>
      <c r="J89" s="301"/>
      <c r="K89" s="301"/>
      <c r="L89" s="306"/>
      <c r="M89" s="325"/>
      <c r="N89" s="326"/>
      <c r="O89" s="323" t="s">
        <v>243</v>
      </c>
      <c r="P89" s="323" t="str">
        <f>J83</f>
        <v>Embalaje URe</v>
      </c>
      <c r="Q89" s="290"/>
      <c r="R89" s="323" t="s">
        <v>242</v>
      </c>
      <c r="S89" s="323">
        <f>P88</f>
        <v>3</v>
      </c>
      <c r="T89" s="290"/>
      <c r="Z89" s="312"/>
      <c r="AA89" s="312"/>
      <c r="AB89" s="312"/>
      <c r="AC89" s="312"/>
      <c r="AD89" s="312"/>
      <c r="AE89" s="312"/>
      <c r="AF89" s="312"/>
      <c r="AG89" s="312"/>
    </row>
    <row r="90" spans="1:33" s="313" customFormat="1" x14ac:dyDescent="0.3">
      <c r="A90" s="325"/>
      <c r="B90" s="306"/>
      <c r="C90" s="325"/>
      <c r="D90" s="306"/>
      <c r="E90" s="325"/>
      <c r="F90" s="306"/>
      <c r="G90" s="325"/>
      <c r="H90" s="306"/>
      <c r="I90" s="325"/>
      <c r="J90" s="306"/>
      <c r="K90" s="325"/>
      <c r="L90" s="306"/>
      <c r="M90" s="325"/>
      <c r="N90" s="326"/>
      <c r="O90" s="324" t="s">
        <v>283</v>
      </c>
      <c r="P90" s="323">
        <f>IF(AND(P88&gt;30,P88&lt;61),2,IF(AND(P88&gt;61,P88&lt;91),3,IF(AND(P88&gt;91,P88&lt;121),4,1)))</f>
        <v>1</v>
      </c>
      <c r="R90" s="323" t="s">
        <v>243</v>
      </c>
      <c r="S90" s="323" t="str">
        <f>P89</f>
        <v>Embalaje URe</v>
      </c>
      <c r="Z90" s="312"/>
      <c r="AA90" s="312"/>
      <c r="AB90" s="312"/>
      <c r="AC90" s="312"/>
      <c r="AD90" s="312"/>
      <c r="AE90" s="312"/>
      <c r="AF90" s="312"/>
      <c r="AG90" s="312"/>
    </row>
    <row r="91" spans="1:33" s="313" customFormat="1" ht="16.5" customHeight="1" x14ac:dyDescent="0.3">
      <c r="A91" s="305"/>
      <c r="B91" s="309"/>
      <c r="C91" s="334"/>
      <c r="D91" s="306"/>
      <c r="E91" s="306"/>
      <c r="F91" s="309"/>
      <c r="G91" s="309"/>
      <c r="H91" s="309"/>
      <c r="I91" s="334"/>
      <c r="J91" s="306"/>
      <c r="K91" s="306"/>
      <c r="L91" s="309"/>
      <c r="M91" s="325"/>
      <c r="N91" s="326"/>
      <c r="O91" s="344" t="s">
        <v>252</v>
      </c>
      <c r="P91" s="348">
        <f>V81</f>
        <v>2764</v>
      </c>
      <c r="R91" s="349" t="s">
        <v>395</v>
      </c>
      <c r="S91" s="349"/>
      <c r="Z91" s="312"/>
      <c r="AA91" s="312"/>
      <c r="AB91" s="312"/>
      <c r="AC91" s="312"/>
      <c r="AD91" s="312"/>
      <c r="AE91" s="312"/>
      <c r="AF91" s="312"/>
      <c r="AG91" s="312"/>
    </row>
    <row r="92" spans="1:33" s="313" customFormat="1" x14ac:dyDescent="0.3">
      <c r="A92" s="305"/>
      <c r="B92" s="309"/>
      <c r="C92" s="334"/>
      <c r="D92" s="306"/>
      <c r="E92" s="306"/>
      <c r="F92" s="309"/>
      <c r="G92" s="309"/>
      <c r="H92" s="309"/>
      <c r="I92" s="334"/>
      <c r="J92" s="306"/>
      <c r="K92" s="306"/>
      <c r="L92" s="309"/>
      <c r="M92" s="325"/>
      <c r="N92" s="326"/>
      <c r="O92" s="344" t="s">
        <v>251</v>
      </c>
      <c r="P92" s="348">
        <f>V81</f>
        <v>2764</v>
      </c>
      <c r="R92" s="324" t="s">
        <v>283</v>
      </c>
      <c r="S92" s="323">
        <f>P90</f>
        <v>1</v>
      </c>
      <c r="Z92" s="312"/>
      <c r="AA92" s="312"/>
      <c r="AB92" s="312"/>
      <c r="AC92" s="312"/>
      <c r="AD92" s="312"/>
      <c r="AE92" s="312"/>
      <c r="AF92" s="312"/>
      <c r="AG92" s="312"/>
    </row>
    <row r="93" spans="1:33" s="313" customFormat="1" ht="16.2" thickBot="1" x14ac:dyDescent="0.35">
      <c r="A93" s="305"/>
      <c r="B93" s="309"/>
      <c r="C93" s="334"/>
      <c r="D93" s="306"/>
      <c r="E93" s="306"/>
      <c r="F93" s="309"/>
      <c r="G93" s="309"/>
      <c r="H93" s="309"/>
      <c r="I93" s="334"/>
      <c r="J93" s="306"/>
      <c r="K93" s="306"/>
      <c r="L93" s="309"/>
      <c r="M93" s="325"/>
      <c r="N93" s="326"/>
      <c r="O93" s="350" t="s">
        <v>253</v>
      </c>
      <c r="P93" s="351">
        <f>IF(AND(P86="pequeñaimportacion",P55&lt;1000),(P55*0.12),IF(P85="dedicado",P91,IF(P85="consolidado",P92,"PD")))</f>
        <v>2764</v>
      </c>
      <c r="R93" s="324" t="s">
        <v>382</v>
      </c>
      <c r="S93" s="352">
        <f>IF(S89=0,0,130)</f>
        <v>130</v>
      </c>
      <c r="Z93" s="312"/>
      <c r="AA93" s="312"/>
      <c r="AB93" s="312"/>
      <c r="AC93" s="312"/>
      <c r="AD93" s="312"/>
      <c r="AE93" s="312"/>
      <c r="AF93" s="312"/>
      <c r="AG93" s="312"/>
    </row>
    <row r="94" spans="1:33" s="313" customFormat="1" ht="16.2" thickBot="1" x14ac:dyDescent="0.35">
      <c r="A94" s="305"/>
      <c r="B94" s="309"/>
      <c r="C94" s="334"/>
      <c r="D94" s="306"/>
      <c r="E94" s="306"/>
      <c r="F94" s="309"/>
      <c r="G94" s="309"/>
      <c r="H94" s="309"/>
      <c r="I94" s="334"/>
      <c r="J94" s="306"/>
      <c r="K94" s="306"/>
      <c r="L94" s="309"/>
      <c r="M94" s="325"/>
      <c r="N94" s="326"/>
      <c r="O94" s="353" t="s">
        <v>368</v>
      </c>
      <c r="P94" s="354">
        <f>IF(P88=0,0,P93*P90)</f>
        <v>2764</v>
      </c>
      <c r="R94" s="344" t="s">
        <v>252</v>
      </c>
      <c r="S94" s="348">
        <f>V88</f>
        <v>150</v>
      </c>
      <c r="Z94" s="312"/>
      <c r="AA94" s="312"/>
      <c r="AB94" s="312"/>
      <c r="AC94" s="312"/>
      <c r="AD94" s="312"/>
      <c r="AE94" s="312"/>
      <c r="AF94" s="312"/>
      <c r="AG94" s="312"/>
    </row>
    <row r="95" spans="1:33" s="313" customFormat="1" x14ac:dyDescent="0.3">
      <c r="A95" s="305"/>
      <c r="B95" s="309"/>
      <c r="C95" s="334"/>
      <c r="D95" s="306"/>
      <c r="E95" s="306"/>
      <c r="F95" s="309"/>
      <c r="G95" s="309"/>
      <c r="H95" s="309"/>
      <c r="I95" s="334"/>
      <c r="J95" s="306"/>
      <c r="K95" s="306"/>
      <c r="L95" s="309"/>
      <c r="M95" s="325"/>
      <c r="N95" s="326"/>
      <c r="R95" s="344" t="s">
        <v>251</v>
      </c>
      <c r="S95" s="348">
        <f>V88</f>
        <v>150</v>
      </c>
      <c r="Z95" s="312"/>
      <c r="AA95" s="312"/>
      <c r="AB95" s="312"/>
      <c r="AC95" s="312"/>
      <c r="AD95" s="312"/>
      <c r="AE95" s="312"/>
      <c r="AF95" s="312"/>
      <c r="AG95" s="312"/>
    </row>
    <row r="96" spans="1:33" s="313" customFormat="1" ht="15.75" customHeight="1" thickBot="1" x14ac:dyDescent="0.35">
      <c r="A96" s="305"/>
      <c r="B96" s="309"/>
      <c r="C96" s="334"/>
      <c r="D96" s="306"/>
      <c r="E96" s="306"/>
      <c r="F96" s="309"/>
      <c r="G96" s="309"/>
      <c r="H96" s="309"/>
      <c r="I96" s="334"/>
      <c r="J96" s="306"/>
      <c r="K96" s="306"/>
      <c r="L96" s="309"/>
      <c r="M96" s="325"/>
      <c r="N96" s="326"/>
      <c r="Q96" s="302"/>
      <c r="R96" s="324" t="s">
        <v>253</v>
      </c>
      <c r="S96" s="352">
        <f>IF(AND(S87="pequeñaimportacion",P55&lt;1000),($P$55*0.12),IF(S86="dedicado",S94,IF(S86="consolidado",S95,"PD")))</f>
        <v>150</v>
      </c>
      <c r="T96" s="290"/>
      <c r="Z96" s="312"/>
      <c r="AA96" s="312"/>
      <c r="AB96" s="312"/>
      <c r="AC96" s="312"/>
      <c r="AD96" s="312"/>
      <c r="AE96" s="312"/>
      <c r="AF96" s="312"/>
      <c r="AG96" s="312"/>
    </row>
    <row r="97" spans="1:33" s="313" customFormat="1" ht="16.2" thickBot="1" x14ac:dyDescent="0.35">
      <c r="A97" s="305"/>
      <c r="B97" s="309"/>
      <c r="C97" s="334"/>
      <c r="D97" s="306"/>
      <c r="E97" s="306"/>
      <c r="F97" s="309"/>
      <c r="G97" s="309"/>
      <c r="H97" s="309"/>
      <c r="I97" s="334"/>
      <c r="J97" s="306"/>
      <c r="K97" s="306"/>
      <c r="L97" s="309"/>
      <c r="M97" s="325"/>
      <c r="N97" s="326"/>
      <c r="O97" s="355" t="s">
        <v>399</v>
      </c>
      <c r="P97" s="356"/>
      <c r="Q97" s="302"/>
      <c r="R97" s="353" t="s">
        <v>367</v>
      </c>
      <c r="S97" s="354">
        <f>IF(S89=0,0,S96*S92)+(S93*S92)</f>
        <v>280</v>
      </c>
      <c r="T97" s="290"/>
      <c r="Z97" s="312"/>
      <c r="AA97" s="312"/>
      <c r="AB97" s="312"/>
      <c r="AC97" s="312"/>
      <c r="AD97" s="312"/>
      <c r="AE97" s="312"/>
      <c r="AF97" s="312"/>
      <c r="AG97" s="312"/>
    </row>
    <row r="98" spans="1:33" s="313" customFormat="1" ht="16.2" thickBot="1" x14ac:dyDescent="0.35">
      <c r="A98" s="305"/>
      <c r="B98" s="309"/>
      <c r="C98" s="334"/>
      <c r="D98" s="306"/>
      <c r="E98" s="306"/>
      <c r="F98" s="306"/>
      <c r="G98" s="306"/>
      <c r="H98" s="306"/>
      <c r="I98" s="309"/>
      <c r="J98" s="306"/>
      <c r="K98" s="314"/>
      <c r="L98" s="314"/>
      <c r="M98" s="325"/>
      <c r="N98" s="326"/>
      <c r="Q98" s="302"/>
      <c r="R98" s="302"/>
      <c r="S98" s="357"/>
      <c r="T98" s="290"/>
      <c r="Z98" s="312"/>
      <c r="AA98" s="312"/>
      <c r="AB98" s="312"/>
      <c r="AC98" s="312"/>
      <c r="AD98" s="312"/>
      <c r="AE98" s="312"/>
      <c r="AF98" s="312"/>
      <c r="AG98" s="312"/>
    </row>
    <row r="99" spans="1:33" s="313" customFormat="1" ht="30" thickBot="1" x14ac:dyDescent="0.35">
      <c r="A99" s="390" t="s">
        <v>397</v>
      </c>
      <c r="B99" s="391"/>
      <c r="C99" s="391"/>
      <c r="D99" s="391"/>
      <c r="E99" s="391"/>
      <c r="F99" s="391"/>
      <c r="G99" s="391"/>
      <c r="H99" s="391"/>
      <c r="I99" s="391"/>
      <c r="J99" s="391"/>
      <c r="K99" s="391"/>
      <c r="L99" s="391"/>
      <c r="M99" s="392"/>
      <c r="N99" s="326"/>
      <c r="U99" s="290"/>
      <c r="V99" s="312"/>
      <c r="W99" s="312"/>
      <c r="X99" s="312"/>
      <c r="Y99" s="312"/>
      <c r="Z99" s="312"/>
      <c r="AA99" s="312"/>
      <c r="AB99" s="312"/>
      <c r="AC99" s="312"/>
      <c r="AD99" s="312"/>
      <c r="AE99" s="312"/>
      <c r="AF99" s="312"/>
      <c r="AG99" s="312"/>
    </row>
    <row r="100" spans="1:33" ht="11.25" customHeight="1" x14ac:dyDescent="0.3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9"/>
      <c r="O100" s="292"/>
      <c r="P100" s="292"/>
      <c r="Q100" s="292"/>
      <c r="R100" s="292"/>
      <c r="S100" s="292"/>
      <c r="T100" s="292"/>
      <c r="U100" s="290"/>
      <c r="V100" s="291"/>
      <c r="W100" s="291"/>
      <c r="X100" s="291"/>
      <c r="Y100" s="291"/>
      <c r="Z100" s="291"/>
      <c r="AA100" s="291"/>
      <c r="AB100" s="291"/>
      <c r="AC100" s="291"/>
      <c r="AD100" s="291"/>
      <c r="AE100" s="291"/>
      <c r="AF100" s="291"/>
      <c r="AG100" s="291"/>
    </row>
    <row r="101" spans="1:33" ht="11.25" customHeight="1" x14ac:dyDescent="0.3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9"/>
      <c r="O101" s="292"/>
      <c r="P101" s="292"/>
      <c r="Q101" s="292"/>
      <c r="R101" s="292"/>
      <c r="S101" s="292"/>
      <c r="T101" s="292"/>
      <c r="U101" s="290"/>
      <c r="V101" s="291"/>
      <c r="W101" s="291"/>
      <c r="X101" s="291"/>
      <c r="Y101" s="291"/>
      <c r="Z101" s="291"/>
      <c r="AA101" s="291"/>
      <c r="AB101" s="291"/>
      <c r="AC101" s="291"/>
      <c r="AD101" s="291"/>
      <c r="AE101" s="291"/>
      <c r="AF101" s="291"/>
      <c r="AG101" s="291"/>
    </row>
    <row r="102" spans="1:33" ht="17.25" customHeight="1" x14ac:dyDescent="0.3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0"/>
      <c r="O102" s="292"/>
      <c r="P102" s="292"/>
      <c r="Q102" s="292"/>
      <c r="R102" s="292"/>
      <c r="S102" s="292"/>
      <c r="T102" s="292"/>
      <c r="U102" s="290"/>
      <c r="V102" s="291"/>
      <c r="W102" s="291"/>
      <c r="X102" s="291"/>
      <c r="Y102" s="291"/>
      <c r="Z102" s="291"/>
      <c r="AA102" s="291"/>
      <c r="AB102" s="291"/>
      <c r="AC102" s="291"/>
      <c r="AD102" s="291"/>
      <c r="AE102" s="291"/>
      <c r="AF102" s="291"/>
      <c r="AG102" s="291"/>
    </row>
    <row r="103" spans="1:33" x14ac:dyDescent="0.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4"/>
      <c r="O103" s="292"/>
      <c r="P103" s="292"/>
      <c r="Q103" s="292"/>
      <c r="R103" s="292"/>
      <c r="S103" s="292"/>
      <c r="T103" s="292"/>
      <c r="U103" s="290"/>
      <c r="V103" s="292"/>
      <c r="AB103" s="291"/>
      <c r="AC103" s="291"/>
      <c r="AD103" s="291"/>
      <c r="AE103" s="291"/>
      <c r="AF103" s="291"/>
      <c r="AG103" s="291"/>
    </row>
    <row r="104" spans="1:33" x14ac:dyDescent="0.3">
      <c r="A104" s="301"/>
      <c r="B104" s="301"/>
      <c r="C104" s="301"/>
      <c r="D104" s="301"/>
      <c r="E104" s="301"/>
      <c r="F104" s="301"/>
      <c r="G104" s="301"/>
      <c r="H104" s="305"/>
      <c r="I104" s="305"/>
      <c r="J104" s="301"/>
      <c r="K104" s="301"/>
      <c r="L104" s="301"/>
      <c r="M104" s="301"/>
      <c r="N104" s="304"/>
      <c r="O104" s="292"/>
      <c r="P104" s="292"/>
      <c r="Q104" s="292"/>
      <c r="R104" s="292"/>
      <c r="S104" s="292"/>
      <c r="T104" s="292"/>
      <c r="U104" s="290"/>
      <c r="V104" s="292"/>
      <c r="AB104" s="291"/>
      <c r="AC104" s="291"/>
      <c r="AD104" s="291"/>
      <c r="AE104" s="291"/>
      <c r="AF104" s="291"/>
      <c r="AG104" s="291"/>
    </row>
    <row r="105" spans="1:33" x14ac:dyDescent="0.3">
      <c r="A105" s="306"/>
      <c r="B105" s="301"/>
      <c r="C105" s="301"/>
      <c r="D105" s="301"/>
      <c r="E105" s="301"/>
      <c r="F105" s="301"/>
      <c r="G105" s="307"/>
      <c r="H105" s="307"/>
      <c r="I105" s="307"/>
      <c r="J105" s="307"/>
      <c r="K105" s="301"/>
      <c r="L105" s="307"/>
      <c r="M105" s="309"/>
      <c r="N105" s="304"/>
      <c r="O105" s="292"/>
      <c r="P105" s="292"/>
      <c r="Q105" s="292"/>
      <c r="R105" s="292"/>
      <c r="S105" s="292"/>
      <c r="T105" s="292"/>
      <c r="U105" s="290"/>
      <c r="V105" s="292"/>
      <c r="AB105" s="291"/>
      <c r="AC105" s="291"/>
      <c r="AD105" s="291"/>
      <c r="AE105" s="291"/>
      <c r="AF105" s="291"/>
      <c r="AG105" s="291"/>
    </row>
    <row r="106" spans="1:33" s="313" customFormat="1" x14ac:dyDescent="0.3">
      <c r="A106" s="306"/>
      <c r="B106" s="306"/>
      <c r="C106" s="306"/>
      <c r="D106" s="306"/>
      <c r="E106" s="306"/>
      <c r="F106" s="306"/>
      <c r="G106" s="307"/>
      <c r="H106" s="314"/>
      <c r="I106" s="358"/>
      <c r="J106" s="386" t="str">
        <f>P110</f>
        <v>UR</v>
      </c>
      <c r="K106" s="387"/>
      <c r="L106" s="307"/>
      <c r="M106" s="309"/>
      <c r="N106" s="311"/>
      <c r="O106" s="402" t="s">
        <v>372</v>
      </c>
      <c r="P106" s="403"/>
      <c r="Q106" s="290"/>
      <c r="R106" s="290"/>
      <c r="S106" s="402" t="s">
        <v>377</v>
      </c>
      <c r="T106" s="403"/>
      <c r="U106" s="290"/>
      <c r="AB106" s="312"/>
      <c r="AC106" s="312"/>
      <c r="AD106" s="312"/>
      <c r="AE106" s="312"/>
      <c r="AF106" s="312"/>
      <c r="AG106" s="312"/>
    </row>
    <row r="107" spans="1:33" s="313" customFormat="1" ht="17.25" customHeight="1" thickBot="1" x14ac:dyDescent="0.35">
      <c r="A107" s="306"/>
      <c r="B107" s="306"/>
      <c r="C107" s="306"/>
      <c r="D107" s="306"/>
      <c r="E107" s="306"/>
      <c r="F107" s="306"/>
      <c r="G107" s="307"/>
      <c r="H107" s="307"/>
      <c r="I107" s="310" t="s">
        <v>15</v>
      </c>
      <c r="J107" s="388"/>
      <c r="K107" s="389"/>
      <c r="L107" s="307"/>
      <c r="M107" s="309"/>
      <c r="N107" s="311"/>
      <c r="O107" s="323" t="s">
        <v>7</v>
      </c>
      <c r="P107" s="323" t="str">
        <f>S79</f>
        <v>Juarez</v>
      </c>
      <c r="Q107" s="290"/>
      <c r="R107" s="290"/>
      <c r="S107" s="324" t="s">
        <v>370</v>
      </c>
      <c r="T107" s="324">
        <f>MATCH($P$108,'Bodega, Recinto, A.A.'!A29:A38,0)</f>
        <v>1</v>
      </c>
      <c r="U107" s="290"/>
      <c r="AB107" s="312"/>
      <c r="AC107" s="312"/>
      <c r="AD107" s="312"/>
      <c r="AE107" s="312"/>
      <c r="AF107" s="312"/>
      <c r="AG107" s="312"/>
    </row>
    <row r="108" spans="1:33" s="313" customFormat="1" ht="15.75" customHeight="1" x14ac:dyDescent="0.45">
      <c r="A108" s="306"/>
      <c r="B108" s="306"/>
      <c r="C108" s="306"/>
      <c r="D108" s="301"/>
      <c r="E108" s="306"/>
      <c r="F108" s="306"/>
      <c r="G108" s="307"/>
      <c r="H108" s="307"/>
      <c r="I108" s="359"/>
      <c r="J108" s="316"/>
      <c r="K108" s="317"/>
      <c r="L108" s="307"/>
      <c r="M108" s="309"/>
      <c r="N108" s="311"/>
      <c r="O108" s="323" t="s">
        <v>6</v>
      </c>
      <c r="P108" s="323" t="str">
        <f>S81</f>
        <v>El Paso</v>
      </c>
      <c r="Q108" s="290"/>
      <c r="R108" s="290"/>
      <c r="S108" s="324" t="s">
        <v>341</v>
      </c>
      <c r="T108" s="324"/>
      <c r="U108" s="290"/>
      <c r="AB108" s="312"/>
      <c r="AC108" s="312"/>
      <c r="AD108" s="312"/>
      <c r="AE108" s="312"/>
      <c r="AF108" s="312"/>
      <c r="AG108" s="312"/>
    </row>
    <row r="109" spans="1:33" s="313" customFormat="1" ht="16.5" customHeight="1" x14ac:dyDescent="0.3">
      <c r="A109" s="306"/>
      <c r="B109" s="306"/>
      <c r="C109" s="306"/>
      <c r="D109" s="306"/>
      <c r="E109" s="306"/>
      <c r="F109" s="306"/>
      <c r="G109" s="314"/>
      <c r="H109" s="306"/>
      <c r="I109" s="358"/>
      <c r="J109" s="382" t="str">
        <f>P111</f>
        <v>Robot industrial para manipulación de mercancia con sus accesorios</v>
      </c>
      <c r="K109" s="383"/>
      <c r="L109" s="307"/>
      <c r="M109" s="309"/>
      <c r="N109" s="311"/>
      <c r="O109" s="323" t="s">
        <v>166</v>
      </c>
      <c r="P109" s="323" t="str">
        <f>S82</f>
        <v>MARON</v>
      </c>
      <c r="Q109" s="290"/>
      <c r="R109" s="290"/>
      <c r="S109" s="324" t="s">
        <v>321</v>
      </c>
      <c r="T109" s="338">
        <f>INDEX('Bodega, Recinto, A.A.'!A12:E21,MATCH($P$108,'Bodega, Recinto, A.A.'!A29:A38,0),5)</f>
        <v>400</v>
      </c>
      <c r="U109" s="290"/>
      <c r="AB109" s="312"/>
      <c r="AC109" s="312"/>
      <c r="AD109" s="312"/>
      <c r="AE109" s="312"/>
      <c r="AF109" s="312"/>
      <c r="AG109" s="312"/>
    </row>
    <row r="110" spans="1:33" s="313" customFormat="1" ht="17.25" customHeight="1" thickBot="1" x14ac:dyDescent="0.35">
      <c r="A110" s="306"/>
      <c r="B110" s="306"/>
      <c r="C110" s="306"/>
      <c r="D110" s="306"/>
      <c r="E110" s="306"/>
      <c r="F110" s="306"/>
      <c r="G110" s="307"/>
      <c r="H110" s="307"/>
      <c r="I110" s="310" t="s">
        <v>375</v>
      </c>
      <c r="J110" s="384"/>
      <c r="K110" s="385"/>
      <c r="L110" s="307"/>
      <c r="M110" s="309"/>
      <c r="N110" s="311"/>
      <c r="O110" s="323" t="s">
        <v>5</v>
      </c>
      <c r="P110" s="323" t="str">
        <f>S83</f>
        <v>UR</v>
      </c>
      <c r="Q110" s="290"/>
      <c r="R110" s="290"/>
      <c r="S110" s="290"/>
      <c r="T110" s="290"/>
      <c r="U110" s="290"/>
      <c r="AB110" s="312"/>
      <c r="AC110" s="312"/>
      <c r="AD110" s="312"/>
      <c r="AE110" s="312"/>
      <c r="AF110" s="312"/>
      <c r="AG110" s="312"/>
    </row>
    <row r="111" spans="1:33" s="313" customFormat="1" ht="15.75" customHeight="1" x14ac:dyDescent="0.45">
      <c r="A111" s="314"/>
      <c r="B111" s="301"/>
      <c r="C111" s="301"/>
      <c r="D111" s="301"/>
      <c r="E111" s="301"/>
      <c r="F111" s="301"/>
      <c r="G111" s="307"/>
      <c r="H111" s="307"/>
      <c r="I111" s="359"/>
      <c r="J111" s="322"/>
      <c r="K111" s="322"/>
      <c r="L111" s="307"/>
      <c r="M111" s="325"/>
      <c r="N111" s="311"/>
      <c r="O111" s="323" t="s">
        <v>167</v>
      </c>
      <c r="P111" s="330" t="str">
        <f>S84</f>
        <v>Robot industrial para manipulación de mercancia con sus accesorios</v>
      </c>
      <c r="Q111" s="290"/>
      <c r="R111" s="290"/>
      <c r="S111" s="290"/>
      <c r="T111" s="290"/>
      <c r="U111" s="290"/>
      <c r="AB111" s="312"/>
      <c r="AC111" s="312"/>
      <c r="AD111" s="312"/>
      <c r="AE111" s="312"/>
      <c r="AF111" s="312"/>
      <c r="AG111" s="312"/>
    </row>
    <row r="112" spans="1:33" s="313" customFormat="1" ht="16.5" customHeight="1" x14ac:dyDescent="0.3">
      <c r="A112" s="306"/>
      <c r="B112" s="301"/>
      <c r="C112" s="301"/>
      <c r="D112" s="301"/>
      <c r="E112" s="301"/>
      <c r="F112" s="301"/>
      <c r="G112" s="306"/>
      <c r="H112" s="306"/>
      <c r="I112" s="358"/>
      <c r="J112" s="382">
        <f>P114</f>
        <v>3</v>
      </c>
      <c r="K112" s="383"/>
      <c r="L112" s="307"/>
      <c r="M112" s="325"/>
      <c r="N112" s="326"/>
      <c r="O112" s="323" t="s">
        <v>233</v>
      </c>
      <c r="P112" s="347" t="str">
        <f>S86</f>
        <v>DEDICADO</v>
      </c>
      <c r="Q112" s="290"/>
      <c r="R112" s="290"/>
      <c r="S112" s="290"/>
      <c r="T112" s="290"/>
      <c r="U112" s="290"/>
      <c r="AB112" s="312"/>
      <c r="AC112" s="312"/>
      <c r="AD112" s="312"/>
      <c r="AE112" s="312"/>
      <c r="AF112" s="312"/>
      <c r="AG112" s="312"/>
    </row>
    <row r="113" spans="1:33" s="313" customFormat="1" ht="15.75" customHeight="1" thickBot="1" x14ac:dyDescent="0.35">
      <c r="A113" s="306"/>
      <c r="B113" s="301"/>
      <c r="C113" s="301"/>
      <c r="D113" s="301"/>
      <c r="E113" s="301"/>
      <c r="F113" s="301"/>
      <c r="G113" s="307"/>
      <c r="H113" s="307"/>
      <c r="I113" s="310" t="s">
        <v>396</v>
      </c>
      <c r="J113" s="384"/>
      <c r="K113" s="385"/>
      <c r="L113" s="307"/>
      <c r="M113" s="325"/>
      <c r="N113" s="326"/>
      <c r="O113" s="324" t="s">
        <v>1</v>
      </c>
      <c r="P113" s="347" t="str">
        <f>S88</f>
        <v>FTL 53´</v>
      </c>
      <c r="Q113" s="290"/>
      <c r="R113" s="290"/>
      <c r="S113" s="290"/>
      <c r="T113" s="290"/>
      <c r="U113" s="290"/>
      <c r="AB113" s="312"/>
      <c r="AC113" s="312"/>
      <c r="AD113" s="312"/>
      <c r="AE113" s="312"/>
      <c r="AF113" s="312"/>
      <c r="AG113" s="312"/>
    </row>
    <row r="114" spans="1:33" s="313" customFormat="1" ht="15.75" customHeight="1" x14ac:dyDescent="0.3">
      <c r="A114" s="306"/>
      <c r="B114" s="301"/>
      <c r="C114" s="301"/>
      <c r="D114" s="301"/>
      <c r="E114" s="301"/>
      <c r="F114" s="301"/>
      <c r="G114" s="307"/>
      <c r="H114" s="307"/>
      <c r="I114" s="306"/>
      <c r="J114" s="306"/>
      <c r="K114" s="306"/>
      <c r="L114" s="307"/>
      <c r="M114" s="325"/>
      <c r="N114" s="326"/>
      <c r="O114" s="323" t="s">
        <v>242</v>
      </c>
      <c r="P114" s="360">
        <f>S89</f>
        <v>3</v>
      </c>
      <c r="Q114" s="290"/>
      <c r="R114" s="290"/>
      <c r="S114" s="290"/>
      <c r="T114" s="290"/>
      <c r="U114" s="290"/>
      <c r="AB114" s="312"/>
      <c r="AC114" s="312"/>
      <c r="AD114" s="312"/>
      <c r="AE114" s="312"/>
      <c r="AF114" s="312"/>
      <c r="AG114" s="312"/>
    </row>
    <row r="115" spans="1:33" s="313" customFormat="1" ht="16.5" customHeight="1" x14ac:dyDescent="0.3">
      <c r="A115" s="306"/>
      <c r="B115" s="301"/>
      <c r="C115" s="301"/>
      <c r="D115" s="301"/>
      <c r="E115" s="301"/>
      <c r="F115" s="301"/>
      <c r="G115" s="307"/>
      <c r="H115" s="307"/>
      <c r="I115" s="306"/>
      <c r="J115" s="306"/>
      <c r="K115" s="306"/>
      <c r="L115" s="307"/>
      <c r="M115" s="325"/>
      <c r="N115" s="326"/>
      <c r="O115" s="323" t="s">
        <v>243</v>
      </c>
      <c r="P115" s="360" t="str">
        <f>S90</f>
        <v>Embalaje URe</v>
      </c>
      <c r="Q115" s="290"/>
      <c r="R115" s="290"/>
      <c r="S115" s="290"/>
      <c r="T115" s="290"/>
      <c r="U115" s="290"/>
      <c r="AB115" s="312"/>
      <c r="AC115" s="312"/>
      <c r="AD115" s="312"/>
      <c r="AE115" s="312"/>
      <c r="AF115" s="312"/>
      <c r="AG115" s="312"/>
    </row>
    <row r="116" spans="1:33" s="313" customFormat="1" x14ac:dyDescent="0.3">
      <c r="A116" s="306"/>
      <c r="B116" s="301"/>
      <c r="C116" s="301"/>
      <c r="D116" s="301"/>
      <c r="E116" s="301"/>
      <c r="F116" s="301"/>
      <c r="G116" s="307"/>
      <c r="H116" s="307"/>
      <c r="I116" s="306"/>
      <c r="J116" s="306"/>
      <c r="K116" s="306"/>
      <c r="L116" s="307"/>
      <c r="M116" s="325"/>
      <c r="N116" s="326"/>
      <c r="O116" s="324" t="s">
        <v>283</v>
      </c>
      <c r="P116" s="360">
        <f>S92</f>
        <v>1</v>
      </c>
      <c r="Q116" s="290"/>
      <c r="R116" s="290"/>
      <c r="S116" s="290"/>
      <c r="T116" s="290"/>
      <c r="U116" s="290"/>
      <c r="AB116" s="312"/>
      <c r="AC116" s="312"/>
      <c r="AD116" s="312"/>
      <c r="AE116" s="312"/>
      <c r="AF116" s="312"/>
      <c r="AG116" s="312"/>
    </row>
    <row r="117" spans="1:33" s="313" customFormat="1" ht="16.2" thickBot="1" x14ac:dyDescent="0.35">
      <c r="A117" s="306"/>
      <c r="B117" s="301"/>
      <c r="C117" s="301"/>
      <c r="D117" s="301"/>
      <c r="E117" s="301"/>
      <c r="F117" s="301"/>
      <c r="G117" s="307"/>
      <c r="H117" s="307"/>
      <c r="I117" s="306"/>
      <c r="J117" s="306"/>
      <c r="K117" s="306"/>
      <c r="L117" s="307"/>
      <c r="M117" s="325"/>
      <c r="N117" s="326"/>
      <c r="O117" s="344" t="s">
        <v>245</v>
      </c>
      <c r="P117" s="361">
        <f>T109</f>
        <v>400</v>
      </c>
      <c r="Q117" s="290"/>
      <c r="R117" s="290"/>
      <c r="S117" s="290"/>
      <c r="T117" s="290"/>
      <c r="U117" s="290"/>
      <c r="AB117" s="312"/>
      <c r="AC117" s="312"/>
      <c r="AD117" s="312"/>
      <c r="AE117" s="312"/>
      <c r="AF117" s="312"/>
      <c r="AG117" s="312"/>
    </row>
    <row r="118" spans="1:33" s="313" customFormat="1" ht="16.2" thickBot="1" x14ac:dyDescent="0.35">
      <c r="A118" s="306"/>
      <c r="B118" s="301"/>
      <c r="C118" s="301"/>
      <c r="D118" s="301"/>
      <c r="E118" s="301"/>
      <c r="F118" s="301"/>
      <c r="G118" s="314"/>
      <c r="H118" s="306"/>
      <c r="I118" s="306"/>
      <c r="J118" s="306"/>
      <c r="K118" s="306"/>
      <c r="L118" s="307"/>
      <c r="M118" s="325"/>
      <c r="N118" s="326"/>
      <c r="O118" s="353" t="s">
        <v>364</v>
      </c>
      <c r="P118" s="354">
        <f>P117</f>
        <v>400</v>
      </c>
      <c r="Q118" s="290"/>
      <c r="R118" s="290"/>
      <c r="S118" s="290"/>
      <c r="T118" s="290"/>
      <c r="U118" s="290"/>
      <c r="AB118" s="312"/>
      <c r="AC118" s="312"/>
      <c r="AD118" s="312"/>
      <c r="AE118" s="312"/>
      <c r="AF118" s="312"/>
      <c r="AG118" s="312"/>
    </row>
    <row r="119" spans="1:33" s="313" customFormat="1" x14ac:dyDescent="0.3">
      <c r="A119" s="314"/>
      <c r="B119" s="301"/>
      <c r="C119" s="301"/>
      <c r="D119" s="301"/>
      <c r="E119" s="301"/>
      <c r="F119" s="301"/>
      <c r="G119" s="314"/>
      <c r="H119" s="306"/>
      <c r="I119" s="306"/>
      <c r="J119" s="306"/>
      <c r="K119" s="306"/>
      <c r="L119" s="307"/>
      <c r="M119" s="325"/>
      <c r="N119" s="326"/>
      <c r="Q119" s="290"/>
      <c r="R119" s="290"/>
      <c r="S119" s="290"/>
      <c r="T119" s="290"/>
      <c r="U119" s="290"/>
      <c r="AB119" s="312"/>
      <c r="AC119" s="312"/>
      <c r="AD119" s="312"/>
      <c r="AE119" s="312"/>
      <c r="AF119" s="312"/>
      <c r="AG119" s="312"/>
    </row>
    <row r="120" spans="1:33" s="313" customFormat="1" x14ac:dyDescent="0.3">
      <c r="A120" s="314"/>
      <c r="B120" s="301"/>
      <c r="C120" s="301"/>
      <c r="D120" s="301"/>
      <c r="E120" s="301"/>
      <c r="F120" s="301"/>
      <c r="G120" s="314"/>
      <c r="H120" s="306"/>
      <c r="I120" s="306"/>
      <c r="J120" s="306"/>
      <c r="K120" s="325"/>
      <c r="L120" s="306"/>
      <c r="M120" s="325"/>
      <c r="N120" s="326"/>
      <c r="Q120" s="290"/>
      <c r="R120" s="290"/>
      <c r="S120" s="290"/>
      <c r="T120" s="290"/>
      <c r="U120" s="290"/>
      <c r="AB120" s="312"/>
      <c r="AC120" s="312"/>
      <c r="AD120" s="312"/>
      <c r="AE120" s="312"/>
      <c r="AF120" s="312"/>
      <c r="AG120" s="312"/>
    </row>
    <row r="121" spans="1:33" s="313" customFormat="1" x14ac:dyDescent="0.3">
      <c r="A121" s="314"/>
      <c r="B121" s="301"/>
      <c r="C121" s="301"/>
      <c r="D121" s="301"/>
      <c r="E121" s="301"/>
      <c r="F121" s="301"/>
      <c r="G121" s="314"/>
      <c r="H121" s="306"/>
      <c r="I121" s="306"/>
      <c r="J121" s="306"/>
      <c r="K121" s="325"/>
      <c r="L121" s="306"/>
      <c r="M121" s="325"/>
      <c r="N121" s="326"/>
      <c r="O121" s="290"/>
      <c r="P121" s="290"/>
      <c r="Q121" s="290"/>
      <c r="R121" s="290"/>
      <c r="S121" s="290"/>
      <c r="T121" s="290"/>
      <c r="U121" s="290"/>
      <c r="AB121" s="312"/>
      <c r="AC121" s="312"/>
      <c r="AD121" s="312"/>
      <c r="AE121" s="312"/>
      <c r="AF121" s="312"/>
      <c r="AG121" s="312"/>
    </row>
    <row r="122" spans="1:33" s="313" customFormat="1" ht="16.2" thickBot="1" x14ac:dyDescent="0.35">
      <c r="A122" s="314"/>
      <c r="B122" s="301"/>
      <c r="C122" s="301"/>
      <c r="D122" s="301"/>
      <c r="E122" s="301"/>
      <c r="F122" s="301"/>
      <c r="G122" s="314"/>
      <c r="H122" s="306"/>
      <c r="I122" s="306"/>
      <c r="J122" s="306"/>
      <c r="K122" s="325"/>
      <c r="L122" s="306"/>
      <c r="M122" s="325"/>
      <c r="N122" s="326"/>
      <c r="O122" s="290"/>
      <c r="P122" s="290"/>
      <c r="Q122" s="290"/>
      <c r="R122" s="290"/>
      <c r="S122" s="290"/>
      <c r="T122" s="290"/>
      <c r="U122" s="290"/>
      <c r="AB122" s="312"/>
      <c r="AC122" s="312"/>
      <c r="AD122" s="312"/>
      <c r="AE122" s="312"/>
      <c r="AF122" s="312"/>
      <c r="AG122" s="312"/>
    </row>
    <row r="123" spans="1:33" s="313" customFormat="1" ht="30" thickBot="1" x14ac:dyDescent="0.35">
      <c r="A123" s="390" t="s">
        <v>325</v>
      </c>
      <c r="B123" s="391"/>
      <c r="C123" s="391"/>
      <c r="D123" s="391"/>
      <c r="E123" s="391"/>
      <c r="F123" s="391"/>
      <c r="G123" s="391"/>
      <c r="H123" s="391"/>
      <c r="I123" s="391"/>
      <c r="J123" s="391"/>
      <c r="K123" s="391"/>
      <c r="L123" s="391"/>
      <c r="M123" s="392"/>
      <c r="N123" s="326"/>
      <c r="O123" s="290"/>
      <c r="P123" s="290"/>
      <c r="Q123" s="290"/>
      <c r="R123" s="290"/>
      <c r="S123" s="290"/>
      <c r="T123" s="290"/>
      <c r="U123" s="290"/>
      <c r="V123" s="312"/>
      <c r="W123" s="312"/>
      <c r="X123" s="312"/>
      <c r="Y123" s="312"/>
      <c r="Z123" s="312"/>
      <c r="AA123" s="312"/>
      <c r="AB123" s="312"/>
      <c r="AC123" s="312"/>
      <c r="AD123" s="312"/>
      <c r="AE123" s="312"/>
      <c r="AF123" s="312"/>
      <c r="AG123" s="312"/>
    </row>
    <row r="124" spans="1:33" ht="11.25" customHeight="1" x14ac:dyDescent="0.3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299"/>
      <c r="O124" s="290"/>
      <c r="P124" s="290"/>
      <c r="Q124" s="290"/>
      <c r="R124" s="290"/>
      <c r="S124" s="290"/>
      <c r="T124" s="290"/>
      <c r="U124" s="290"/>
      <c r="V124" s="291"/>
      <c r="W124" s="291"/>
      <c r="X124" s="291"/>
      <c r="Y124" s="291"/>
      <c r="Z124" s="291"/>
      <c r="AA124" s="291"/>
      <c r="AB124" s="291"/>
      <c r="AC124" s="291"/>
      <c r="AD124" s="291"/>
      <c r="AE124" s="291"/>
      <c r="AF124" s="291"/>
      <c r="AG124" s="291"/>
    </row>
    <row r="125" spans="1:33" ht="11.25" customHeight="1" x14ac:dyDescent="0.3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299"/>
      <c r="O125" s="290"/>
      <c r="P125" s="290"/>
      <c r="Q125" s="290"/>
      <c r="R125" s="290"/>
      <c r="S125" s="290"/>
      <c r="T125" s="290"/>
      <c r="U125" s="290"/>
      <c r="V125" s="291"/>
      <c r="W125" s="291"/>
      <c r="X125" s="291"/>
      <c r="Y125" s="291"/>
      <c r="Z125" s="291"/>
      <c r="AA125" s="291"/>
      <c r="AB125" s="291"/>
      <c r="AC125" s="291"/>
      <c r="AD125" s="291"/>
      <c r="AE125" s="291"/>
      <c r="AF125" s="291"/>
      <c r="AG125" s="291"/>
    </row>
    <row r="126" spans="1:33" x14ac:dyDescent="0.3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4"/>
      <c r="U126" s="290"/>
      <c r="V126" s="291"/>
      <c r="W126" s="291"/>
      <c r="X126" s="291"/>
      <c r="Y126" s="291"/>
      <c r="Z126" s="291"/>
      <c r="AA126" s="291"/>
      <c r="AB126" s="291"/>
      <c r="AC126" s="291"/>
      <c r="AD126" s="291"/>
      <c r="AE126" s="291"/>
      <c r="AF126" s="291"/>
      <c r="AG126" s="291"/>
    </row>
    <row r="127" spans="1:33" x14ac:dyDescent="0.3">
      <c r="A127" s="301"/>
      <c r="B127" s="301"/>
      <c r="C127" s="301"/>
      <c r="D127" s="301"/>
      <c r="E127" s="301"/>
      <c r="F127" s="301"/>
      <c r="G127" s="301"/>
      <c r="H127" s="305"/>
      <c r="I127" s="305"/>
      <c r="J127" s="301"/>
      <c r="K127" s="301"/>
      <c r="L127" s="301"/>
      <c r="M127" s="301"/>
      <c r="N127" s="304"/>
      <c r="U127" s="290"/>
      <c r="V127" s="291"/>
      <c r="W127" s="291"/>
      <c r="X127" s="291"/>
      <c r="Y127" s="291"/>
      <c r="Z127" s="291"/>
      <c r="AA127" s="291"/>
      <c r="AB127" s="291"/>
      <c r="AC127" s="291"/>
      <c r="AD127" s="291"/>
      <c r="AE127" s="291"/>
      <c r="AF127" s="291"/>
      <c r="AG127" s="291"/>
    </row>
    <row r="128" spans="1:33" x14ac:dyDescent="0.3">
      <c r="A128" s="306"/>
      <c r="B128" s="301"/>
      <c r="C128" s="301"/>
      <c r="D128" s="301"/>
      <c r="E128" s="301"/>
      <c r="F128" s="301"/>
      <c r="G128" s="307"/>
      <c r="H128" s="307"/>
      <c r="I128" s="307"/>
      <c r="J128" s="307"/>
      <c r="K128" s="301"/>
      <c r="L128" s="307"/>
      <c r="M128" s="309"/>
      <c r="N128" s="304"/>
      <c r="U128" s="290"/>
      <c r="V128" s="291"/>
      <c r="W128" s="291"/>
      <c r="X128" s="291"/>
      <c r="Y128" s="291"/>
      <c r="Z128" s="291"/>
      <c r="AA128" s="291"/>
      <c r="AB128" s="291"/>
      <c r="AC128" s="291"/>
      <c r="AD128" s="291"/>
      <c r="AE128" s="291"/>
      <c r="AF128" s="291"/>
      <c r="AG128" s="291"/>
    </row>
    <row r="129" spans="1:33" s="313" customFormat="1" x14ac:dyDescent="0.3">
      <c r="A129" s="306"/>
      <c r="B129" s="306"/>
      <c r="C129" s="306"/>
      <c r="D129" s="306"/>
      <c r="E129" s="306"/>
      <c r="F129" s="306"/>
      <c r="G129" s="307"/>
      <c r="H129" s="307"/>
      <c r="I129" s="307"/>
      <c r="J129" s="307"/>
      <c r="K129" s="301"/>
      <c r="L129" s="307"/>
      <c r="M129" s="309"/>
      <c r="N129" s="311"/>
      <c r="O129" s="402" t="s">
        <v>371</v>
      </c>
      <c r="P129" s="403"/>
      <c r="Q129" s="290"/>
      <c r="R129" s="290"/>
      <c r="S129" s="402" t="s">
        <v>378</v>
      </c>
      <c r="T129" s="403"/>
      <c r="U129" s="290"/>
      <c r="V129" s="312"/>
      <c r="W129" s="312"/>
      <c r="X129" s="312"/>
      <c r="Y129" s="312"/>
      <c r="Z129" s="312"/>
      <c r="AA129" s="312"/>
      <c r="AB129" s="312"/>
      <c r="AC129" s="312"/>
      <c r="AD129" s="312"/>
      <c r="AE129" s="312"/>
      <c r="AF129" s="312"/>
      <c r="AG129" s="312"/>
    </row>
    <row r="130" spans="1:33" s="313" customFormat="1" x14ac:dyDescent="0.3">
      <c r="A130" s="306"/>
      <c r="B130" s="306"/>
      <c r="C130" s="306"/>
      <c r="D130" s="306"/>
      <c r="E130" s="306"/>
      <c r="F130" s="306"/>
      <c r="G130" s="307"/>
      <c r="H130" s="314"/>
      <c r="I130" s="307"/>
      <c r="J130" s="404">
        <f>P135</f>
        <v>123590</v>
      </c>
      <c r="K130" s="405"/>
      <c r="L130" s="307"/>
      <c r="M130" s="309"/>
      <c r="N130" s="311"/>
      <c r="O130" s="323" t="s">
        <v>7</v>
      </c>
      <c r="P130" s="323" t="str">
        <f>P107</f>
        <v>Juarez</v>
      </c>
      <c r="Q130" s="290"/>
      <c r="R130" s="290"/>
      <c r="S130" s="324" t="s">
        <v>379</v>
      </c>
      <c r="T130" s="324">
        <f>MATCH($P$108,'Bodega, Recinto, A.A.'!A45:A54,0)</f>
        <v>1</v>
      </c>
      <c r="U130" s="290"/>
      <c r="V130" s="312"/>
      <c r="W130" s="312"/>
      <c r="X130" s="312"/>
      <c r="Y130" s="312"/>
      <c r="Z130" s="312"/>
      <c r="AA130" s="312"/>
      <c r="AB130" s="312"/>
      <c r="AC130" s="312"/>
      <c r="AD130" s="312"/>
      <c r="AE130" s="312"/>
      <c r="AF130" s="312"/>
      <c r="AG130" s="312"/>
    </row>
    <row r="131" spans="1:33" s="313" customFormat="1" ht="17.399999999999999" thickBot="1" x14ac:dyDescent="0.35">
      <c r="A131" s="306"/>
      <c r="B131" s="306"/>
      <c r="C131" s="306"/>
      <c r="D131" s="306"/>
      <c r="E131" s="306"/>
      <c r="F131" s="306"/>
      <c r="G131" s="307"/>
      <c r="H131" s="307"/>
      <c r="I131" s="328" t="s">
        <v>365</v>
      </c>
      <c r="J131" s="406"/>
      <c r="K131" s="407"/>
      <c r="L131" s="307"/>
      <c r="M131" s="309"/>
      <c r="N131" s="311"/>
      <c r="O131" s="323" t="s">
        <v>6</v>
      </c>
      <c r="P131" s="323" t="str">
        <f>P108</f>
        <v>El Paso</v>
      </c>
      <c r="Q131" s="290"/>
      <c r="R131" s="290"/>
      <c r="S131" s="324" t="s">
        <v>341</v>
      </c>
      <c r="T131" s="324"/>
      <c r="U131" s="290"/>
      <c r="V131" s="312"/>
      <c r="W131" s="312"/>
      <c r="X131" s="312"/>
      <c r="Y131" s="312"/>
      <c r="Z131" s="312"/>
      <c r="AA131" s="312"/>
      <c r="AB131" s="312"/>
      <c r="AC131" s="312"/>
      <c r="AD131" s="312"/>
      <c r="AE131" s="312"/>
      <c r="AF131" s="312"/>
      <c r="AG131" s="312"/>
    </row>
    <row r="132" spans="1:33" s="313" customFormat="1" x14ac:dyDescent="0.3">
      <c r="A132" s="306"/>
      <c r="B132" s="306"/>
      <c r="C132" s="306"/>
      <c r="D132" s="306"/>
      <c r="E132" s="306"/>
      <c r="F132" s="306"/>
      <c r="G132" s="314"/>
      <c r="H132" s="307"/>
      <c r="I132" s="306"/>
      <c r="J132" s="309"/>
      <c r="K132" s="305"/>
      <c r="L132" s="307"/>
      <c r="M132" s="309"/>
      <c r="N132" s="311"/>
      <c r="O132" s="323" t="s">
        <v>166</v>
      </c>
      <c r="P132" s="323" t="str">
        <f>P109</f>
        <v>MARON</v>
      </c>
      <c r="Q132" s="290"/>
      <c r="R132" s="290"/>
      <c r="S132" s="324" t="s">
        <v>321</v>
      </c>
      <c r="T132" s="338">
        <f>INDEX('Bodega, Recinto, A.A.'!A45:E54,MATCH($P$131,'Bodega, Recinto, A.A.'!A45:A54,0),5)</f>
        <v>552.56500000000005</v>
      </c>
      <c r="U132" s="290"/>
      <c r="V132" s="312"/>
      <c r="W132" s="312"/>
      <c r="X132" s="312"/>
      <c r="Y132" s="312"/>
      <c r="Z132" s="312"/>
      <c r="AA132" s="312"/>
      <c r="AB132" s="312"/>
      <c r="AC132" s="312"/>
      <c r="AD132" s="312"/>
      <c r="AE132" s="312"/>
      <c r="AF132" s="312"/>
      <c r="AG132" s="312"/>
    </row>
    <row r="133" spans="1:33" s="313" customFormat="1" x14ac:dyDescent="0.3">
      <c r="A133" s="306"/>
      <c r="B133" s="306"/>
      <c r="C133" s="306"/>
      <c r="D133" s="306"/>
      <c r="E133" s="306"/>
      <c r="F133" s="306"/>
      <c r="G133" s="307"/>
      <c r="H133" s="306"/>
      <c r="I133" s="325"/>
      <c r="J133" s="386" t="str">
        <f>P138</f>
        <v>SI</v>
      </c>
      <c r="K133" s="387"/>
      <c r="L133" s="307"/>
      <c r="M133" s="309"/>
      <c r="N133" s="311"/>
      <c r="O133" s="323" t="s">
        <v>5</v>
      </c>
      <c r="P133" s="323" t="str">
        <f>P110</f>
        <v>UR</v>
      </c>
      <c r="Q133" s="290"/>
      <c r="R133" s="290"/>
      <c r="S133" s="290"/>
      <c r="T133" s="290"/>
      <c r="U133" s="290"/>
      <c r="V133" s="312"/>
      <c r="W133" s="312"/>
      <c r="X133" s="312"/>
      <c r="Y133" s="312"/>
      <c r="Z133" s="312"/>
      <c r="AA133" s="312"/>
      <c r="AB133" s="312"/>
      <c r="AC133" s="312"/>
      <c r="AD133" s="312"/>
      <c r="AE133" s="312"/>
      <c r="AF133" s="312"/>
      <c r="AG133" s="312"/>
    </row>
    <row r="134" spans="1:33" s="313" customFormat="1" ht="15.75" customHeight="1" thickBot="1" x14ac:dyDescent="0.35">
      <c r="A134" s="314"/>
      <c r="B134" s="301"/>
      <c r="C134" s="301"/>
      <c r="D134" s="301"/>
      <c r="E134" s="301"/>
      <c r="F134" s="301"/>
      <c r="G134" s="307"/>
      <c r="H134" s="307"/>
      <c r="I134" s="328" t="s">
        <v>366</v>
      </c>
      <c r="J134" s="388"/>
      <c r="K134" s="389"/>
      <c r="L134" s="307"/>
      <c r="M134" s="325"/>
      <c r="N134" s="311"/>
      <c r="O134" s="323" t="s">
        <v>167</v>
      </c>
      <c r="P134" s="323" t="str">
        <f>P87</f>
        <v>RABON 20´</v>
      </c>
      <c r="Q134" s="290"/>
      <c r="R134" s="290"/>
      <c r="S134" s="290"/>
      <c r="T134" s="290"/>
      <c r="U134" s="290"/>
      <c r="V134" s="312"/>
      <c r="W134" s="312"/>
      <c r="X134" s="312"/>
      <c r="Y134" s="312"/>
      <c r="Z134" s="312"/>
      <c r="AA134" s="312"/>
      <c r="AB134" s="312"/>
      <c r="AC134" s="312"/>
      <c r="AD134" s="312"/>
      <c r="AE134" s="312"/>
      <c r="AF134" s="312"/>
      <c r="AG134" s="312"/>
    </row>
    <row r="135" spans="1:33" s="313" customFormat="1" x14ac:dyDescent="0.3">
      <c r="A135" s="306"/>
      <c r="B135" s="301"/>
      <c r="C135" s="301"/>
      <c r="D135" s="301"/>
      <c r="E135" s="301"/>
      <c r="F135" s="301"/>
      <c r="G135" s="306"/>
      <c r="H135" s="307"/>
      <c r="I135" s="362"/>
      <c r="J135" s="306"/>
      <c r="K135" s="306"/>
      <c r="L135" s="307"/>
      <c r="M135" s="325"/>
      <c r="N135" s="326"/>
      <c r="O135" s="323" t="s">
        <v>315</v>
      </c>
      <c r="P135" s="363">
        <f>P55</f>
        <v>123590</v>
      </c>
      <c r="Q135" s="290"/>
      <c r="R135" s="290"/>
      <c r="S135" s="290"/>
      <c r="T135" s="290"/>
      <c r="U135" s="290"/>
      <c r="V135" s="312"/>
      <c r="W135" s="312"/>
      <c r="X135" s="312"/>
      <c r="Y135" s="312"/>
      <c r="Z135" s="312"/>
      <c r="AA135" s="312"/>
      <c r="AB135" s="312"/>
      <c r="AC135" s="312"/>
      <c r="AD135" s="312"/>
      <c r="AE135" s="312"/>
      <c r="AF135" s="312"/>
      <c r="AG135" s="312"/>
    </row>
    <row r="136" spans="1:33" s="313" customFormat="1" ht="15.75" customHeight="1" x14ac:dyDescent="0.3">
      <c r="A136" s="306"/>
      <c r="B136" s="301"/>
      <c r="C136" s="301"/>
      <c r="D136" s="301"/>
      <c r="E136" s="301"/>
      <c r="F136" s="301"/>
      <c r="G136" s="307"/>
      <c r="H136" s="306"/>
      <c r="I136" s="307"/>
      <c r="J136" s="408">
        <f>P137</f>
        <v>0.15</v>
      </c>
      <c r="K136" s="387"/>
      <c r="L136" s="307"/>
      <c r="M136" s="325"/>
      <c r="N136" s="326"/>
      <c r="O136" s="323" t="s">
        <v>373</v>
      </c>
      <c r="P136" s="364">
        <f>P135+S97</f>
        <v>123870</v>
      </c>
      <c r="Q136" s="290"/>
      <c r="R136" s="290"/>
      <c r="S136" s="290"/>
      <c r="T136" s="290"/>
      <c r="U136" s="290"/>
      <c r="V136" s="312"/>
      <c r="W136" s="312"/>
      <c r="X136" s="312"/>
      <c r="Y136" s="312"/>
      <c r="Z136" s="312"/>
      <c r="AA136" s="312"/>
      <c r="AB136" s="312"/>
      <c r="AC136" s="312"/>
      <c r="AD136" s="312"/>
      <c r="AE136" s="312"/>
      <c r="AF136" s="312"/>
      <c r="AG136" s="312"/>
    </row>
    <row r="137" spans="1:33" s="313" customFormat="1" ht="17.399999999999999" thickBot="1" x14ac:dyDescent="0.35">
      <c r="A137" s="306"/>
      <c r="B137" s="301"/>
      <c r="C137" s="301"/>
      <c r="D137" s="301"/>
      <c r="E137" s="301"/>
      <c r="F137" s="301"/>
      <c r="G137" s="307"/>
      <c r="H137" s="307"/>
      <c r="I137" s="328" t="s">
        <v>229</v>
      </c>
      <c r="J137" s="388"/>
      <c r="K137" s="389"/>
      <c r="L137" s="307"/>
      <c r="M137" s="325"/>
      <c r="N137" s="326"/>
      <c r="O137" s="323" t="s">
        <v>322</v>
      </c>
      <c r="P137" s="332">
        <f>P56</f>
        <v>0.15</v>
      </c>
      <c r="Q137" s="290"/>
      <c r="R137" s="290"/>
      <c r="S137" s="290"/>
      <c r="T137" s="290"/>
      <c r="U137" s="290"/>
      <c r="V137" s="312"/>
      <c r="W137" s="312"/>
      <c r="X137" s="312"/>
      <c r="Y137" s="312"/>
      <c r="Z137" s="312"/>
      <c r="AA137" s="312"/>
      <c r="AB137" s="312"/>
      <c r="AC137" s="312"/>
      <c r="AD137" s="312"/>
      <c r="AE137" s="312"/>
      <c r="AF137" s="312"/>
      <c r="AG137" s="312"/>
    </row>
    <row r="138" spans="1:33" s="313" customFormat="1" ht="19.2" x14ac:dyDescent="0.45">
      <c r="A138" s="306"/>
      <c r="B138" s="301"/>
      <c r="C138" s="301"/>
      <c r="D138" s="301"/>
      <c r="E138" s="301"/>
      <c r="F138" s="301"/>
      <c r="G138" s="306"/>
      <c r="H138" s="307"/>
      <c r="I138" s="362"/>
      <c r="J138" s="322"/>
      <c r="K138" s="306"/>
      <c r="L138" s="307"/>
      <c r="M138" s="325"/>
      <c r="N138" s="326"/>
      <c r="O138" s="323" t="s">
        <v>228</v>
      </c>
      <c r="P138" s="365" t="str">
        <f>P57</f>
        <v>SI</v>
      </c>
      <c r="Q138" s="290"/>
      <c r="R138" s="290"/>
      <c r="S138" s="290"/>
      <c r="T138" s="290"/>
      <c r="U138" s="290"/>
      <c r="V138" s="312"/>
      <c r="W138" s="312"/>
      <c r="X138" s="312"/>
      <c r="Y138" s="312"/>
      <c r="Z138" s="312"/>
      <c r="AA138" s="312"/>
      <c r="AB138" s="312"/>
      <c r="AC138" s="312"/>
      <c r="AD138" s="312"/>
      <c r="AE138" s="312"/>
      <c r="AF138" s="312"/>
      <c r="AG138" s="312"/>
    </row>
    <row r="139" spans="1:33" s="313" customFormat="1" ht="19.2" x14ac:dyDescent="0.45">
      <c r="A139" s="314"/>
      <c r="B139" s="301"/>
      <c r="C139" s="301"/>
      <c r="D139" s="301"/>
      <c r="E139" s="301"/>
      <c r="F139" s="301"/>
      <c r="G139" s="314"/>
      <c r="H139" s="306"/>
      <c r="I139" s="306"/>
      <c r="J139" s="322"/>
      <c r="K139" s="325"/>
      <c r="L139" s="306"/>
      <c r="M139" s="325"/>
      <c r="N139" s="326"/>
      <c r="O139" s="366" t="s">
        <v>376</v>
      </c>
      <c r="P139" s="367">
        <f>IF(P138="NO",(P136*0.008)+15,20+15)</f>
        <v>35</v>
      </c>
      <c r="Q139" s="290"/>
      <c r="R139" s="290"/>
      <c r="S139" s="290"/>
      <c r="T139" s="290"/>
      <c r="U139" s="290"/>
      <c r="V139" s="312"/>
      <c r="W139" s="312"/>
      <c r="X139" s="312"/>
      <c r="Y139" s="312"/>
      <c r="Z139" s="312"/>
      <c r="AA139" s="312"/>
      <c r="AB139" s="312"/>
      <c r="AC139" s="312"/>
      <c r="AD139" s="312"/>
      <c r="AE139" s="312"/>
      <c r="AF139" s="312"/>
      <c r="AG139" s="312"/>
    </row>
    <row r="140" spans="1:33" s="313" customFormat="1" ht="16.2" thickBot="1" x14ac:dyDescent="0.35">
      <c r="A140" s="314"/>
      <c r="B140" s="301"/>
      <c r="C140" s="301"/>
      <c r="D140" s="301"/>
      <c r="E140" s="301"/>
      <c r="F140" s="301"/>
      <c r="G140" s="314"/>
      <c r="H140" s="306"/>
      <c r="I140" s="306"/>
      <c r="J140" s="306"/>
      <c r="K140" s="325"/>
      <c r="L140" s="306"/>
      <c r="M140" s="325"/>
      <c r="N140" s="326"/>
      <c r="O140" s="366" t="s">
        <v>229</v>
      </c>
      <c r="P140" s="367">
        <f>(P137*P136)</f>
        <v>18580.5</v>
      </c>
      <c r="Q140" s="290"/>
      <c r="R140" s="290"/>
      <c r="S140" s="290"/>
      <c r="T140" s="290"/>
      <c r="U140" s="290"/>
      <c r="V140" s="312"/>
      <c r="W140" s="312"/>
      <c r="X140" s="312"/>
      <c r="Y140" s="312"/>
      <c r="Z140" s="312"/>
      <c r="AA140" s="312"/>
      <c r="AB140" s="312"/>
      <c r="AC140" s="312"/>
      <c r="AD140" s="312"/>
      <c r="AE140" s="312"/>
      <c r="AF140" s="312"/>
      <c r="AG140" s="312"/>
    </row>
    <row r="141" spans="1:33" s="313" customFormat="1" ht="16.2" thickBot="1" x14ac:dyDescent="0.35">
      <c r="A141" s="314"/>
      <c r="B141" s="301"/>
      <c r="C141" s="301"/>
      <c r="D141" s="301"/>
      <c r="E141" s="301"/>
      <c r="F141" s="301"/>
      <c r="G141" s="314"/>
      <c r="H141" s="306"/>
      <c r="I141" s="306"/>
      <c r="J141" s="306"/>
      <c r="K141" s="325"/>
      <c r="L141" s="306"/>
      <c r="M141" s="325"/>
      <c r="N141" s="326"/>
      <c r="O141" s="353" t="s">
        <v>363</v>
      </c>
      <c r="P141" s="354">
        <f>T132</f>
        <v>552.56500000000005</v>
      </c>
      <c r="Q141" s="290"/>
      <c r="R141" s="290"/>
      <c r="S141" s="290"/>
      <c r="T141" s="290"/>
      <c r="U141" s="290"/>
      <c r="V141" s="312"/>
      <c r="W141" s="312"/>
      <c r="X141" s="312"/>
      <c r="Y141" s="312"/>
      <c r="Z141" s="312"/>
      <c r="AA141" s="312"/>
      <c r="AB141" s="312"/>
      <c r="AC141" s="312"/>
      <c r="AD141" s="312"/>
      <c r="AE141" s="312"/>
      <c r="AF141" s="312"/>
      <c r="AG141" s="312"/>
    </row>
    <row r="142" spans="1:33" s="313" customFormat="1" ht="16.2" thickBot="1" x14ac:dyDescent="0.35">
      <c r="A142" s="314"/>
      <c r="B142" s="301"/>
      <c r="C142" s="301"/>
      <c r="D142" s="301"/>
      <c r="E142" s="301"/>
      <c r="F142" s="301"/>
      <c r="G142" s="314"/>
      <c r="H142" s="306"/>
      <c r="I142" s="306"/>
      <c r="J142" s="306"/>
      <c r="K142" s="325"/>
      <c r="L142" s="306"/>
      <c r="M142" s="325"/>
      <c r="N142" s="326"/>
      <c r="O142" s="353" t="s">
        <v>369</v>
      </c>
      <c r="P142" s="354">
        <f>IF(P138="SI",20+15,(P136*0.008)+15+(P136*P137))</f>
        <v>35</v>
      </c>
      <c r="Q142" s="290"/>
      <c r="R142" s="290"/>
      <c r="S142" s="290"/>
      <c r="T142" s="290"/>
      <c r="U142" s="290"/>
      <c r="V142" s="312"/>
      <c r="W142" s="312"/>
      <c r="X142" s="312"/>
      <c r="Y142" s="312"/>
      <c r="Z142" s="312"/>
      <c r="AA142" s="312"/>
      <c r="AB142" s="312"/>
      <c r="AC142" s="312"/>
      <c r="AD142" s="312"/>
      <c r="AE142" s="312"/>
      <c r="AF142" s="312"/>
      <c r="AG142" s="312"/>
    </row>
    <row r="143" spans="1:33" s="313" customFormat="1" x14ac:dyDescent="0.3">
      <c r="A143" s="314"/>
      <c r="B143" s="301"/>
      <c r="C143" s="301"/>
      <c r="D143" s="301"/>
      <c r="E143" s="301"/>
      <c r="F143" s="301"/>
      <c r="G143" s="314"/>
      <c r="H143" s="306"/>
      <c r="I143" s="306"/>
      <c r="J143" s="306"/>
      <c r="K143" s="325"/>
      <c r="L143" s="306"/>
      <c r="M143" s="325"/>
      <c r="N143" s="326"/>
      <c r="Q143" s="290"/>
      <c r="R143" s="290"/>
      <c r="S143" s="290"/>
      <c r="T143" s="290"/>
      <c r="U143" s="290"/>
      <c r="V143" s="312"/>
      <c r="W143" s="312"/>
      <c r="X143" s="312"/>
      <c r="Y143" s="312"/>
      <c r="Z143" s="312"/>
      <c r="AA143" s="312"/>
      <c r="AB143" s="312"/>
      <c r="AC143" s="312"/>
      <c r="AD143" s="312"/>
      <c r="AE143" s="312"/>
      <c r="AF143" s="312"/>
      <c r="AG143" s="312"/>
    </row>
    <row r="144" spans="1:33" s="313" customFormat="1" x14ac:dyDescent="0.3">
      <c r="A144" s="314"/>
      <c r="B144" s="301"/>
      <c r="C144" s="301"/>
      <c r="D144" s="301"/>
      <c r="E144" s="301"/>
      <c r="F144" s="301"/>
      <c r="G144" s="314"/>
      <c r="H144" s="306"/>
      <c r="I144" s="306"/>
      <c r="J144" s="306"/>
      <c r="K144" s="325"/>
      <c r="L144" s="306"/>
      <c r="M144" s="325"/>
      <c r="N144" s="326"/>
      <c r="O144" s="302"/>
      <c r="P144" s="302"/>
      <c r="Q144" s="290"/>
      <c r="R144" s="290"/>
      <c r="S144" s="290"/>
      <c r="T144" s="290"/>
      <c r="U144" s="290"/>
      <c r="V144" s="312"/>
      <c r="W144" s="312"/>
      <c r="X144" s="312"/>
      <c r="Y144" s="312"/>
      <c r="Z144" s="312"/>
      <c r="AA144" s="312"/>
      <c r="AB144" s="312"/>
      <c r="AC144" s="312"/>
      <c r="AD144" s="312"/>
      <c r="AE144" s="312"/>
      <c r="AF144" s="312"/>
      <c r="AG144" s="312"/>
    </row>
    <row r="145" spans="1:33" s="313" customFormat="1" x14ac:dyDescent="0.3">
      <c r="A145" s="314"/>
      <c r="B145" s="301"/>
      <c r="C145" s="301"/>
      <c r="D145" s="301"/>
      <c r="E145" s="301"/>
      <c r="F145" s="301"/>
      <c r="G145" s="314"/>
      <c r="H145" s="306"/>
      <c r="I145" s="306"/>
      <c r="J145" s="306"/>
      <c r="K145" s="325"/>
      <c r="L145" s="306"/>
      <c r="M145" s="325"/>
      <c r="N145" s="326"/>
      <c r="O145" s="302"/>
      <c r="P145" s="368"/>
      <c r="Q145" s="290"/>
      <c r="R145" s="290"/>
      <c r="S145" s="290"/>
      <c r="T145" s="290"/>
      <c r="U145" s="290"/>
      <c r="V145" s="312"/>
      <c r="W145" s="312"/>
      <c r="X145" s="312"/>
      <c r="Y145" s="312"/>
      <c r="Z145" s="312"/>
      <c r="AA145" s="312"/>
      <c r="AB145" s="312"/>
      <c r="AC145" s="312"/>
      <c r="AD145" s="312"/>
      <c r="AE145" s="312"/>
      <c r="AF145" s="312"/>
      <c r="AG145" s="312"/>
    </row>
    <row r="146" spans="1:33" s="313" customFormat="1" x14ac:dyDescent="0.3">
      <c r="A146" s="305"/>
      <c r="B146" s="301"/>
      <c r="C146" s="301"/>
      <c r="D146" s="301"/>
      <c r="E146" s="301"/>
      <c r="F146" s="301"/>
      <c r="G146" s="306"/>
      <c r="H146" s="306"/>
      <c r="I146" s="306"/>
      <c r="J146" s="306"/>
      <c r="K146" s="314"/>
      <c r="L146" s="306"/>
      <c r="M146" s="325"/>
      <c r="N146" s="326"/>
      <c r="O146" s="290"/>
      <c r="P146" s="290"/>
      <c r="Q146" s="290"/>
      <c r="R146" s="290"/>
      <c r="S146" s="290"/>
      <c r="T146" s="290"/>
      <c r="U146" s="290"/>
      <c r="V146" s="312"/>
      <c r="W146" s="312"/>
      <c r="X146" s="312"/>
      <c r="Y146" s="312"/>
      <c r="Z146" s="312"/>
      <c r="AA146" s="312"/>
      <c r="AB146" s="312"/>
      <c r="AC146" s="312"/>
      <c r="AD146" s="312"/>
      <c r="AE146" s="312"/>
      <c r="AF146" s="312"/>
      <c r="AG146" s="312"/>
    </row>
    <row r="147" spans="1:33" s="313" customFormat="1" ht="16.2" thickBot="1" x14ac:dyDescent="0.35">
      <c r="A147" s="305"/>
      <c r="B147" s="309"/>
      <c r="C147" s="334"/>
      <c r="D147" s="306"/>
      <c r="E147" s="306"/>
      <c r="F147" s="306"/>
      <c r="G147" s="306"/>
      <c r="H147" s="306"/>
      <c r="I147" s="306"/>
      <c r="J147" s="306"/>
      <c r="K147" s="314"/>
      <c r="L147" s="306"/>
      <c r="M147" s="325"/>
      <c r="N147" s="326"/>
      <c r="O147" s="290"/>
      <c r="P147" s="290"/>
      <c r="Q147" s="290"/>
      <c r="R147" s="290"/>
      <c r="S147" s="290"/>
      <c r="T147" s="290"/>
      <c r="U147" s="290"/>
      <c r="V147" s="312"/>
      <c r="W147" s="312"/>
      <c r="X147" s="312"/>
      <c r="Y147" s="312"/>
      <c r="Z147" s="312"/>
      <c r="AA147" s="312"/>
      <c r="AB147" s="312"/>
      <c r="AC147" s="312"/>
      <c r="AD147" s="312"/>
      <c r="AE147" s="312"/>
      <c r="AF147" s="312"/>
      <c r="AG147" s="312"/>
    </row>
    <row r="148" spans="1:33" s="313" customFormat="1" ht="30" thickBot="1" x14ac:dyDescent="0.35">
      <c r="A148" s="390" t="s">
        <v>374</v>
      </c>
      <c r="B148" s="391"/>
      <c r="C148" s="391"/>
      <c r="D148" s="391"/>
      <c r="E148" s="391"/>
      <c r="F148" s="391"/>
      <c r="G148" s="391"/>
      <c r="H148" s="391"/>
      <c r="I148" s="391"/>
      <c r="J148" s="391"/>
      <c r="K148" s="391"/>
      <c r="L148" s="391"/>
      <c r="M148" s="392"/>
      <c r="N148" s="326"/>
      <c r="O148" s="290"/>
      <c r="P148" s="290"/>
      <c r="Q148" s="290"/>
      <c r="R148" s="290"/>
      <c r="S148" s="290"/>
      <c r="T148" s="290"/>
      <c r="U148" s="290"/>
      <c r="V148" s="312"/>
      <c r="W148" s="312"/>
      <c r="X148" s="312"/>
      <c r="Y148" s="312"/>
      <c r="Z148" s="312"/>
      <c r="AA148" s="312"/>
      <c r="AB148" s="312"/>
      <c r="AC148" s="312"/>
      <c r="AD148" s="312"/>
      <c r="AE148" s="312"/>
      <c r="AF148" s="312"/>
      <c r="AG148" s="312"/>
    </row>
    <row r="149" spans="1:33" ht="32.4" x14ac:dyDescent="0.3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9"/>
      <c r="O149" s="290"/>
      <c r="P149" s="290"/>
      <c r="Q149" s="290"/>
      <c r="R149" s="290"/>
      <c r="S149" s="290"/>
      <c r="T149" s="290"/>
      <c r="U149" s="290"/>
      <c r="V149" s="291"/>
      <c r="W149" s="291"/>
      <c r="X149" s="291"/>
      <c r="Y149" s="291"/>
      <c r="Z149" s="291"/>
      <c r="AA149" s="291"/>
      <c r="AB149" s="291"/>
      <c r="AC149" s="291"/>
      <c r="AD149" s="291"/>
      <c r="AE149" s="291"/>
      <c r="AF149" s="291"/>
      <c r="AG149" s="291"/>
    </row>
    <row r="150" spans="1:33" ht="17.25" customHeight="1" x14ac:dyDescent="0.3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0"/>
      <c r="U150" s="290"/>
      <c r="V150" s="291"/>
      <c r="W150" s="291"/>
      <c r="X150" s="291"/>
      <c r="Y150" s="291"/>
      <c r="Z150" s="291"/>
      <c r="AA150" s="291"/>
      <c r="AB150" s="291"/>
      <c r="AC150" s="291"/>
      <c r="AD150" s="291"/>
      <c r="AE150" s="291"/>
      <c r="AF150" s="291"/>
      <c r="AG150" s="291"/>
    </row>
    <row r="151" spans="1:33" x14ac:dyDescent="0.3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4"/>
      <c r="O151" s="290"/>
      <c r="P151" s="290"/>
      <c r="U151" s="290"/>
      <c r="V151" s="291"/>
      <c r="W151" s="291"/>
      <c r="X151" s="291"/>
      <c r="Y151" s="291"/>
      <c r="Z151" s="291"/>
      <c r="AA151" s="291"/>
      <c r="AB151" s="291"/>
      <c r="AC151" s="291"/>
      <c r="AD151" s="291"/>
      <c r="AE151" s="291"/>
      <c r="AF151" s="291"/>
      <c r="AG151" s="291"/>
    </row>
    <row r="152" spans="1:33" x14ac:dyDescent="0.3">
      <c r="A152" s="301"/>
      <c r="B152" s="301"/>
      <c r="C152" s="301"/>
      <c r="D152" s="301"/>
      <c r="E152" s="301"/>
      <c r="F152" s="301"/>
      <c r="G152" s="301"/>
      <c r="H152" s="305"/>
      <c r="I152" s="305"/>
      <c r="J152" s="301"/>
      <c r="K152" s="301"/>
      <c r="L152" s="301"/>
      <c r="M152" s="301"/>
      <c r="N152" s="304"/>
      <c r="O152" s="290"/>
      <c r="P152" s="290"/>
      <c r="U152" s="290"/>
      <c r="V152" s="291"/>
      <c r="W152" s="291"/>
      <c r="X152" s="291"/>
      <c r="Y152" s="291"/>
      <c r="Z152" s="291"/>
      <c r="AA152" s="291"/>
      <c r="AB152" s="291"/>
      <c r="AC152" s="291"/>
      <c r="AD152" s="291"/>
      <c r="AE152" s="291"/>
      <c r="AF152" s="291"/>
      <c r="AG152" s="291"/>
    </row>
    <row r="153" spans="1:33" x14ac:dyDescent="0.3">
      <c r="A153" s="306"/>
      <c r="B153" s="301"/>
      <c r="C153" s="301"/>
      <c r="D153" s="301"/>
      <c r="E153" s="301"/>
      <c r="F153" s="301"/>
      <c r="G153" s="307"/>
      <c r="H153" s="307"/>
      <c r="I153" s="307"/>
      <c r="J153" s="307"/>
      <c r="K153" s="301"/>
      <c r="L153" s="307"/>
      <c r="M153" s="309"/>
      <c r="N153" s="304"/>
      <c r="O153" s="290"/>
      <c r="P153" s="290"/>
      <c r="U153" s="290"/>
      <c r="V153" s="291"/>
      <c r="W153" s="291"/>
      <c r="X153" s="291"/>
      <c r="Y153" s="291"/>
      <c r="Z153" s="291"/>
      <c r="AA153" s="291"/>
      <c r="AB153" s="291"/>
      <c r="AC153" s="291"/>
      <c r="AD153" s="291"/>
      <c r="AE153" s="291"/>
      <c r="AF153" s="291"/>
      <c r="AG153" s="291"/>
    </row>
    <row r="154" spans="1:33" s="313" customFormat="1" x14ac:dyDescent="0.3">
      <c r="A154" s="306"/>
      <c r="B154" s="306"/>
      <c r="C154" s="306"/>
      <c r="D154" s="306"/>
      <c r="E154" s="306"/>
      <c r="F154" s="306"/>
      <c r="G154" s="307"/>
      <c r="H154" s="307"/>
      <c r="I154" s="307"/>
      <c r="J154" s="307"/>
      <c r="K154" s="301"/>
      <c r="L154" s="307"/>
      <c r="M154" s="309"/>
      <c r="N154" s="311"/>
      <c r="O154" s="290"/>
      <c r="P154" s="290"/>
      <c r="Q154" s="290"/>
      <c r="R154" s="290"/>
      <c r="S154" s="290"/>
      <c r="T154" s="290"/>
      <c r="U154" s="290"/>
      <c r="V154" s="312"/>
      <c r="W154" s="312"/>
      <c r="X154" s="312"/>
      <c r="Y154" s="312"/>
      <c r="Z154" s="312"/>
      <c r="AA154" s="312"/>
      <c r="AB154" s="312"/>
      <c r="AC154" s="312"/>
      <c r="AD154" s="312"/>
      <c r="AE154" s="312"/>
      <c r="AF154" s="312"/>
      <c r="AG154" s="312"/>
    </row>
    <row r="155" spans="1:33" s="313" customFormat="1" ht="16.8" x14ac:dyDescent="0.3">
      <c r="A155" s="306"/>
      <c r="B155" s="306"/>
      <c r="C155" s="306"/>
      <c r="D155" s="306"/>
      <c r="E155" s="306"/>
      <c r="F155" s="306"/>
      <c r="G155" s="307"/>
      <c r="H155" s="314"/>
      <c r="I155" s="308"/>
      <c r="J155" s="378">
        <f>P156</f>
        <v>2764</v>
      </c>
      <c r="K155" s="379"/>
      <c r="L155" s="307"/>
      <c r="M155" s="309"/>
      <c r="N155" s="311"/>
      <c r="O155" s="402" t="s">
        <v>331</v>
      </c>
      <c r="P155" s="403"/>
      <c r="Q155" s="290"/>
      <c r="R155" s="290"/>
      <c r="S155" s="290"/>
      <c r="T155" s="290"/>
      <c r="U155" s="290"/>
      <c r="V155" s="312"/>
      <c r="W155" s="312"/>
      <c r="X155" s="312"/>
      <c r="Y155" s="312"/>
      <c r="Z155" s="312"/>
      <c r="AA155" s="312"/>
      <c r="AB155" s="312"/>
      <c r="AC155" s="312"/>
      <c r="AD155" s="312"/>
      <c r="AE155" s="312"/>
      <c r="AF155" s="312"/>
      <c r="AG155" s="312"/>
    </row>
    <row r="156" spans="1:33" s="313" customFormat="1" ht="17.399999999999999" thickBot="1" x14ac:dyDescent="0.35">
      <c r="A156" s="306"/>
      <c r="B156" s="306"/>
      <c r="C156" s="306"/>
      <c r="D156" s="306"/>
      <c r="E156" s="306"/>
      <c r="F156" s="306"/>
      <c r="G156" s="307"/>
      <c r="H156" s="307"/>
      <c r="I156" s="328" t="s">
        <v>326</v>
      </c>
      <c r="J156" s="380"/>
      <c r="K156" s="381"/>
      <c r="L156" s="307"/>
      <c r="M156" s="309"/>
      <c r="N156" s="311"/>
      <c r="O156" s="323" t="s">
        <v>332</v>
      </c>
      <c r="P156" s="369">
        <f>P94</f>
        <v>2764</v>
      </c>
      <c r="Q156" s="290"/>
      <c r="R156" s="290"/>
      <c r="S156" s="290"/>
      <c r="T156" s="290"/>
      <c r="U156" s="290"/>
      <c r="V156" s="312"/>
      <c r="W156" s="312"/>
      <c r="X156" s="312"/>
      <c r="Y156" s="312"/>
      <c r="Z156" s="312"/>
      <c r="AA156" s="312"/>
      <c r="AB156" s="312"/>
      <c r="AC156" s="312"/>
      <c r="AD156" s="312"/>
      <c r="AE156" s="312"/>
      <c r="AF156" s="312"/>
      <c r="AG156" s="312"/>
    </row>
    <row r="157" spans="1:33" s="313" customFormat="1" ht="19.2" x14ac:dyDescent="0.45">
      <c r="A157" s="306"/>
      <c r="B157" s="306"/>
      <c r="C157" s="306"/>
      <c r="D157" s="306"/>
      <c r="E157" s="306"/>
      <c r="F157" s="306"/>
      <c r="G157" s="314"/>
      <c r="H157" s="307"/>
      <c r="I157" s="315"/>
      <c r="J157" s="370"/>
      <c r="K157" s="371"/>
      <c r="L157" s="307"/>
      <c r="M157" s="309"/>
      <c r="N157" s="311"/>
      <c r="O157" s="323" t="s">
        <v>333</v>
      </c>
      <c r="P157" s="369">
        <f>P118</f>
        <v>400</v>
      </c>
      <c r="Q157" s="290"/>
      <c r="R157" s="290"/>
      <c r="S157" s="290"/>
      <c r="T157" s="290"/>
      <c r="U157" s="290"/>
      <c r="V157" s="312"/>
      <c r="W157" s="312"/>
      <c r="X157" s="312"/>
      <c r="Y157" s="312"/>
      <c r="Z157" s="312"/>
      <c r="AA157" s="312"/>
      <c r="AB157" s="312"/>
      <c r="AC157" s="312"/>
      <c r="AD157" s="312"/>
      <c r="AE157" s="312"/>
      <c r="AF157" s="312"/>
      <c r="AG157" s="312"/>
    </row>
    <row r="158" spans="1:33" s="313" customFormat="1" ht="16.8" x14ac:dyDescent="0.3">
      <c r="A158" s="306"/>
      <c r="B158" s="306"/>
      <c r="C158" s="306"/>
      <c r="D158" s="306"/>
      <c r="E158" s="306"/>
      <c r="F158" s="306"/>
      <c r="G158" s="307"/>
      <c r="H158" s="306"/>
      <c r="I158" s="308"/>
      <c r="J158" s="378">
        <f>P157</f>
        <v>400</v>
      </c>
      <c r="K158" s="379"/>
      <c r="L158" s="307"/>
      <c r="M158" s="309"/>
      <c r="N158" s="311"/>
      <c r="O158" s="323" t="s">
        <v>334</v>
      </c>
      <c r="P158" s="369">
        <f>S97</f>
        <v>280</v>
      </c>
      <c r="Q158" s="290"/>
      <c r="R158" s="290"/>
      <c r="S158" s="290"/>
      <c r="T158" s="290"/>
      <c r="U158" s="290"/>
      <c r="V158" s="312"/>
      <c r="W158" s="312"/>
      <c r="X158" s="312"/>
      <c r="Y158" s="312"/>
      <c r="Z158" s="312"/>
      <c r="AA158" s="312"/>
      <c r="AB158" s="312"/>
      <c r="AC158" s="312"/>
      <c r="AD158" s="312"/>
      <c r="AE158" s="312"/>
      <c r="AF158" s="312"/>
      <c r="AG158" s="312"/>
    </row>
    <row r="159" spans="1:33" s="313" customFormat="1" ht="15.75" customHeight="1" thickBot="1" x14ac:dyDescent="0.35">
      <c r="A159" s="314"/>
      <c r="B159" s="301"/>
      <c r="C159" s="301"/>
      <c r="D159" s="301"/>
      <c r="E159" s="301"/>
      <c r="F159" s="301"/>
      <c r="G159" s="307"/>
      <c r="H159" s="307"/>
      <c r="I159" s="328" t="s">
        <v>327</v>
      </c>
      <c r="J159" s="380"/>
      <c r="K159" s="381"/>
      <c r="L159" s="307"/>
      <c r="M159" s="325"/>
      <c r="N159" s="311"/>
      <c r="O159" s="323" t="s">
        <v>335</v>
      </c>
      <c r="P159" s="369">
        <f>P141</f>
        <v>552.56500000000005</v>
      </c>
      <c r="Q159" s="290"/>
      <c r="R159" s="290"/>
      <c r="S159" s="290"/>
      <c r="T159" s="290"/>
      <c r="U159" s="290"/>
      <c r="V159" s="312"/>
      <c r="W159" s="312"/>
      <c r="X159" s="312"/>
      <c r="Y159" s="312"/>
      <c r="Z159" s="312"/>
      <c r="AA159" s="312"/>
      <c r="AB159" s="312"/>
      <c r="AC159" s="312"/>
      <c r="AD159" s="312"/>
      <c r="AE159" s="312"/>
      <c r="AF159" s="312"/>
      <c r="AG159" s="312"/>
    </row>
    <row r="160" spans="1:33" s="313" customFormat="1" ht="19.2" x14ac:dyDescent="0.45">
      <c r="A160" s="306"/>
      <c r="B160" s="301"/>
      <c r="C160" s="301"/>
      <c r="D160" s="301"/>
      <c r="E160" s="301"/>
      <c r="F160" s="301"/>
      <c r="G160" s="306"/>
      <c r="H160" s="307"/>
      <c r="I160" s="315"/>
      <c r="J160" s="322"/>
      <c r="K160" s="322"/>
      <c r="L160" s="307"/>
      <c r="M160" s="325"/>
      <c r="N160" s="326"/>
      <c r="O160" s="323" t="s">
        <v>336</v>
      </c>
      <c r="P160" s="372">
        <f>P142</f>
        <v>35</v>
      </c>
      <c r="Q160" s="290"/>
      <c r="R160" s="290"/>
      <c r="S160" s="290"/>
      <c r="T160" s="290"/>
      <c r="U160" s="290"/>
      <c r="V160" s="312"/>
      <c r="W160" s="312"/>
      <c r="X160" s="312"/>
      <c r="Y160" s="312"/>
      <c r="Z160" s="312"/>
      <c r="AA160" s="312"/>
      <c r="AB160" s="312"/>
      <c r="AC160" s="312"/>
      <c r="AD160" s="312"/>
      <c r="AE160" s="312"/>
      <c r="AF160" s="312"/>
      <c r="AG160" s="312"/>
    </row>
    <row r="161" spans="1:33" s="313" customFormat="1" ht="15.75" customHeight="1" x14ac:dyDescent="0.3">
      <c r="A161" s="306"/>
      <c r="B161" s="301"/>
      <c r="C161" s="301"/>
      <c r="D161" s="301"/>
      <c r="E161" s="301"/>
      <c r="F161" s="301"/>
      <c r="G161" s="307"/>
      <c r="H161" s="306"/>
      <c r="I161" s="308"/>
      <c r="J161" s="378">
        <f>P158</f>
        <v>280</v>
      </c>
      <c r="K161" s="379"/>
      <c r="L161" s="307"/>
      <c r="M161" s="325"/>
      <c r="N161" s="326"/>
      <c r="O161" s="373" t="s">
        <v>337</v>
      </c>
      <c r="P161" s="374">
        <f>SUM(P156:P160)</f>
        <v>4031.5650000000001</v>
      </c>
      <c r="Q161" s="290"/>
      <c r="R161" s="290"/>
      <c r="S161" s="290"/>
      <c r="T161" s="290"/>
      <c r="U161" s="290"/>
      <c r="V161" s="312"/>
      <c r="W161" s="312"/>
      <c r="X161" s="312"/>
      <c r="Y161" s="312"/>
      <c r="Z161" s="312"/>
      <c r="AA161" s="312"/>
      <c r="AB161" s="312"/>
      <c r="AC161" s="312"/>
      <c r="AD161" s="312"/>
      <c r="AE161" s="312"/>
      <c r="AF161" s="312"/>
      <c r="AG161" s="312"/>
    </row>
    <row r="162" spans="1:33" s="313" customFormat="1" ht="16.5" customHeight="1" thickBot="1" x14ac:dyDescent="0.35">
      <c r="A162" s="306"/>
      <c r="B162" s="301"/>
      <c r="C162" s="301"/>
      <c r="D162" s="301"/>
      <c r="E162" s="301"/>
      <c r="F162" s="301"/>
      <c r="G162" s="307"/>
      <c r="H162" s="307"/>
      <c r="I162" s="328" t="s">
        <v>328</v>
      </c>
      <c r="J162" s="380"/>
      <c r="K162" s="381"/>
      <c r="L162" s="307"/>
      <c r="M162" s="325"/>
      <c r="N162" s="326"/>
      <c r="O162" s="290"/>
      <c r="P162" s="290"/>
      <c r="Q162" s="290"/>
      <c r="R162" s="290"/>
      <c r="S162" s="290"/>
      <c r="T162" s="290"/>
      <c r="U162" s="290"/>
      <c r="V162" s="312"/>
      <c r="W162" s="312"/>
      <c r="X162" s="312"/>
      <c r="Y162" s="312"/>
      <c r="Z162" s="312"/>
      <c r="AA162" s="312"/>
      <c r="AB162" s="312"/>
      <c r="AC162" s="312"/>
      <c r="AD162" s="312"/>
      <c r="AE162" s="312"/>
      <c r="AF162" s="312"/>
      <c r="AG162" s="312"/>
    </row>
    <row r="163" spans="1:33" s="313" customFormat="1" ht="17.25" customHeight="1" x14ac:dyDescent="0.45">
      <c r="A163" s="306"/>
      <c r="B163" s="301"/>
      <c r="C163" s="301"/>
      <c r="D163" s="301"/>
      <c r="E163" s="301"/>
      <c r="F163" s="301"/>
      <c r="G163" s="306"/>
      <c r="H163" s="307"/>
      <c r="I163" s="315"/>
      <c r="J163" s="322"/>
      <c r="K163" s="322"/>
      <c r="L163" s="307"/>
      <c r="M163" s="325"/>
      <c r="N163" s="326"/>
      <c r="O163" s="290"/>
      <c r="P163" s="290"/>
      <c r="Q163" s="290"/>
      <c r="R163" s="290"/>
      <c r="S163" s="290"/>
      <c r="T163" s="290"/>
      <c r="U163" s="290"/>
      <c r="V163" s="312"/>
      <c r="W163" s="312"/>
      <c r="X163" s="312"/>
      <c r="Y163" s="312"/>
      <c r="Z163" s="312"/>
      <c r="AA163" s="312"/>
      <c r="AB163" s="312"/>
      <c r="AC163" s="312"/>
      <c r="AD163" s="312"/>
      <c r="AE163" s="312"/>
      <c r="AF163" s="312"/>
      <c r="AG163" s="312"/>
    </row>
    <row r="164" spans="1:33" s="313" customFormat="1" ht="16.8" x14ac:dyDescent="0.3">
      <c r="A164" s="306"/>
      <c r="B164" s="301"/>
      <c r="C164" s="301"/>
      <c r="D164" s="301"/>
      <c r="E164" s="301"/>
      <c r="F164" s="301"/>
      <c r="G164" s="307"/>
      <c r="H164" s="306"/>
      <c r="I164" s="308"/>
      <c r="J164" s="378">
        <f>P159</f>
        <v>552.56500000000005</v>
      </c>
      <c r="K164" s="379"/>
      <c r="L164" s="307"/>
      <c r="M164" s="325"/>
      <c r="N164" s="326"/>
      <c r="O164" s="290"/>
      <c r="P164" s="290"/>
      <c r="Q164" s="290"/>
      <c r="R164" s="290"/>
      <c r="S164" s="290"/>
      <c r="T164" s="290"/>
      <c r="U164" s="290"/>
      <c r="V164" s="312"/>
      <c r="W164" s="312"/>
      <c r="X164" s="312"/>
      <c r="Y164" s="312"/>
      <c r="Z164" s="312"/>
      <c r="AA164" s="312"/>
      <c r="AB164" s="312"/>
      <c r="AC164" s="312"/>
      <c r="AD164" s="312"/>
      <c r="AE164" s="312"/>
      <c r="AF164" s="312"/>
      <c r="AG164" s="312"/>
    </row>
    <row r="165" spans="1:33" s="313" customFormat="1" ht="17.399999999999999" thickBot="1" x14ac:dyDescent="0.35">
      <c r="A165" s="306"/>
      <c r="B165" s="301"/>
      <c r="C165" s="301"/>
      <c r="D165" s="301"/>
      <c r="E165" s="301"/>
      <c r="F165" s="301"/>
      <c r="G165" s="307"/>
      <c r="H165" s="306"/>
      <c r="I165" s="328" t="s">
        <v>329</v>
      </c>
      <c r="J165" s="380"/>
      <c r="K165" s="381"/>
      <c r="L165" s="307"/>
      <c r="M165" s="325"/>
      <c r="N165" s="326"/>
      <c r="Q165" s="290"/>
      <c r="R165" s="290"/>
      <c r="S165" s="290"/>
      <c r="T165" s="290"/>
      <c r="U165" s="290"/>
      <c r="V165" s="312"/>
      <c r="W165" s="312"/>
      <c r="X165" s="312"/>
      <c r="Y165" s="312"/>
      <c r="Z165" s="312"/>
      <c r="AA165" s="312"/>
      <c r="AB165" s="312"/>
      <c r="AC165" s="312"/>
      <c r="AD165" s="312"/>
      <c r="AE165" s="312"/>
      <c r="AF165" s="312"/>
      <c r="AG165" s="312"/>
    </row>
    <row r="166" spans="1:33" s="313" customFormat="1" ht="16.8" x14ac:dyDescent="0.3">
      <c r="A166" s="306"/>
      <c r="B166" s="301"/>
      <c r="C166" s="301"/>
      <c r="D166" s="301"/>
      <c r="E166" s="301"/>
      <c r="F166" s="301"/>
      <c r="G166" s="314"/>
      <c r="H166" s="306"/>
      <c r="I166" s="308"/>
      <c r="J166" s="308"/>
      <c r="K166" s="308"/>
      <c r="L166" s="306"/>
      <c r="M166" s="325"/>
      <c r="N166" s="326"/>
      <c r="Q166" s="290"/>
      <c r="R166" s="290"/>
      <c r="S166" s="290"/>
      <c r="T166" s="290"/>
      <c r="U166" s="290"/>
      <c r="V166" s="312"/>
      <c r="W166" s="312"/>
      <c r="X166" s="312"/>
      <c r="Y166" s="312"/>
      <c r="Z166" s="312"/>
      <c r="AA166" s="312"/>
      <c r="AB166" s="312"/>
      <c r="AC166" s="312"/>
      <c r="AD166" s="312"/>
      <c r="AE166" s="312"/>
      <c r="AF166" s="312"/>
      <c r="AG166" s="312"/>
    </row>
    <row r="167" spans="1:33" s="313" customFormat="1" ht="16.8" x14ac:dyDescent="0.3">
      <c r="A167" s="306"/>
      <c r="B167" s="301"/>
      <c r="C167" s="301"/>
      <c r="D167" s="301"/>
      <c r="E167" s="301"/>
      <c r="F167" s="301"/>
      <c r="G167" s="314"/>
      <c r="H167" s="306"/>
      <c r="I167" s="308"/>
      <c r="J167" s="393">
        <f>P160</f>
        <v>35</v>
      </c>
      <c r="K167" s="394"/>
      <c r="L167" s="306"/>
      <c r="M167" s="325"/>
      <c r="N167" s="326"/>
      <c r="Q167" s="290"/>
      <c r="R167" s="290"/>
      <c r="S167" s="290"/>
      <c r="T167" s="290"/>
      <c r="U167" s="290"/>
      <c r="V167" s="312"/>
      <c r="W167" s="312"/>
      <c r="X167" s="312"/>
      <c r="Y167" s="312"/>
      <c r="Z167" s="312"/>
      <c r="AA167" s="312"/>
      <c r="AB167" s="312"/>
      <c r="AC167" s="312"/>
      <c r="AD167" s="312"/>
      <c r="AE167" s="312"/>
      <c r="AF167" s="312"/>
      <c r="AG167" s="312"/>
    </row>
    <row r="168" spans="1:33" s="313" customFormat="1" ht="17.399999999999999" thickBot="1" x14ac:dyDescent="0.35">
      <c r="A168" s="306"/>
      <c r="B168" s="301"/>
      <c r="C168" s="301"/>
      <c r="D168" s="301"/>
      <c r="E168" s="301"/>
      <c r="F168" s="301"/>
      <c r="G168" s="314"/>
      <c r="H168" s="306"/>
      <c r="I168" s="328" t="s">
        <v>330</v>
      </c>
      <c r="J168" s="395"/>
      <c r="K168" s="396"/>
      <c r="L168" s="306"/>
      <c r="M168" s="375"/>
      <c r="N168" s="326"/>
      <c r="Q168" s="290"/>
      <c r="R168" s="290"/>
      <c r="S168" s="290"/>
      <c r="T168" s="290"/>
      <c r="U168" s="290"/>
      <c r="V168" s="312"/>
      <c r="W168" s="312"/>
      <c r="X168" s="312"/>
      <c r="Y168" s="312"/>
      <c r="Z168" s="312"/>
      <c r="AA168" s="312"/>
      <c r="AB168" s="312"/>
      <c r="AC168" s="312"/>
      <c r="AD168" s="312"/>
      <c r="AE168" s="312"/>
      <c r="AF168" s="312"/>
      <c r="AG168" s="312"/>
    </row>
    <row r="169" spans="1:33" s="313" customFormat="1" x14ac:dyDescent="0.3">
      <c r="A169" s="314"/>
      <c r="B169" s="301"/>
      <c r="C169" s="301"/>
      <c r="D169" s="301"/>
      <c r="E169" s="301"/>
      <c r="F169" s="301"/>
      <c r="G169" s="314"/>
      <c r="H169" s="306"/>
      <c r="I169" s="306"/>
      <c r="J169" s="306"/>
      <c r="K169" s="325"/>
      <c r="L169" s="306"/>
      <c r="M169" s="325"/>
      <c r="N169" s="326"/>
      <c r="Q169" s="290"/>
      <c r="R169" s="290"/>
      <c r="S169" s="290"/>
      <c r="T169" s="290"/>
      <c r="U169" s="290"/>
      <c r="V169" s="312"/>
      <c r="W169" s="312"/>
      <c r="X169" s="312"/>
      <c r="Y169" s="312"/>
      <c r="Z169" s="312"/>
      <c r="AA169" s="312"/>
      <c r="AB169" s="312"/>
      <c r="AC169" s="312"/>
      <c r="AD169" s="312"/>
      <c r="AE169" s="312"/>
      <c r="AF169" s="312"/>
      <c r="AG169" s="312"/>
    </row>
    <row r="170" spans="1:33" s="313" customFormat="1" x14ac:dyDescent="0.3">
      <c r="A170" s="314"/>
      <c r="B170" s="301"/>
      <c r="C170" s="301"/>
      <c r="D170" s="301"/>
      <c r="E170" s="301"/>
      <c r="F170" s="301"/>
      <c r="G170" s="314"/>
      <c r="H170" s="306"/>
      <c r="I170" s="306"/>
      <c r="J170" s="306"/>
      <c r="K170" s="325"/>
      <c r="L170" s="306"/>
      <c r="M170" s="325"/>
      <c r="N170" s="326"/>
      <c r="Q170" s="290"/>
      <c r="R170" s="290"/>
      <c r="S170" s="290"/>
      <c r="T170" s="290"/>
      <c r="U170" s="290"/>
      <c r="V170" s="312"/>
      <c r="W170" s="312"/>
      <c r="X170" s="312"/>
      <c r="Y170" s="312"/>
      <c r="Z170" s="312"/>
      <c r="AA170" s="312"/>
      <c r="AB170" s="312"/>
      <c r="AC170" s="312"/>
      <c r="AD170" s="312"/>
      <c r="AE170" s="312"/>
      <c r="AF170" s="312"/>
      <c r="AG170" s="312"/>
    </row>
    <row r="171" spans="1:33" s="313" customFormat="1" x14ac:dyDescent="0.3">
      <c r="A171" s="305"/>
      <c r="B171" s="301"/>
      <c r="C171" s="301"/>
      <c r="D171" s="301"/>
      <c r="E171" s="301"/>
      <c r="F171" s="301"/>
      <c r="G171" s="306"/>
      <c r="H171" s="306"/>
      <c r="I171" s="306"/>
      <c r="J171" s="306"/>
      <c r="K171" s="314"/>
      <c r="L171" s="306"/>
      <c r="M171" s="325"/>
      <c r="N171" s="326"/>
      <c r="Q171" s="290"/>
      <c r="R171" s="290"/>
      <c r="S171" s="290"/>
      <c r="T171" s="290"/>
      <c r="U171" s="290"/>
      <c r="V171" s="312"/>
      <c r="W171" s="312"/>
      <c r="X171" s="312"/>
      <c r="Y171" s="312"/>
      <c r="Z171" s="312"/>
      <c r="AA171" s="312"/>
      <c r="AB171" s="312"/>
      <c r="AC171" s="312"/>
      <c r="AD171" s="312"/>
      <c r="AE171" s="312"/>
      <c r="AF171" s="312"/>
      <c r="AG171" s="312"/>
    </row>
    <row r="172" spans="1:33" s="313" customFormat="1" x14ac:dyDescent="0.3">
      <c r="A172" s="305"/>
      <c r="B172" s="301"/>
      <c r="C172" s="301"/>
      <c r="D172" s="301"/>
      <c r="E172" s="301"/>
      <c r="F172" s="301"/>
      <c r="G172" s="306"/>
      <c r="H172" s="306"/>
      <c r="I172" s="306"/>
      <c r="J172" s="306"/>
      <c r="K172" s="314"/>
      <c r="L172" s="306"/>
      <c r="M172" s="325"/>
      <c r="N172" s="326"/>
      <c r="O172" s="290"/>
      <c r="P172" s="290"/>
      <c r="Q172" s="290"/>
      <c r="R172" s="290"/>
      <c r="S172" s="290"/>
      <c r="T172" s="290"/>
      <c r="U172" s="290"/>
      <c r="V172" s="312"/>
      <c r="W172" s="312"/>
      <c r="X172" s="312"/>
      <c r="Y172" s="312"/>
      <c r="Z172" s="312"/>
      <c r="AA172" s="312"/>
      <c r="AB172" s="312"/>
      <c r="AC172" s="312"/>
      <c r="AD172" s="312"/>
      <c r="AE172" s="312"/>
      <c r="AF172" s="312"/>
      <c r="AG172" s="312"/>
    </row>
    <row r="173" spans="1:33" s="313" customFormat="1" x14ac:dyDescent="0.3">
      <c r="A173" s="305"/>
      <c r="B173" s="301"/>
      <c r="C173" s="301"/>
      <c r="D173" s="301"/>
      <c r="E173" s="301"/>
      <c r="F173" s="301"/>
      <c r="G173" s="306"/>
      <c r="H173" s="306"/>
      <c r="I173" s="306"/>
      <c r="J173" s="306"/>
      <c r="K173" s="314"/>
      <c r="L173" s="306"/>
      <c r="M173" s="325"/>
      <c r="N173" s="326"/>
      <c r="O173" s="290"/>
      <c r="P173" s="290"/>
      <c r="Q173" s="290"/>
      <c r="R173" s="290"/>
      <c r="S173" s="290"/>
      <c r="T173" s="290"/>
      <c r="U173" s="290"/>
      <c r="V173" s="312"/>
      <c r="W173" s="312"/>
      <c r="X173" s="312"/>
      <c r="Y173" s="312"/>
      <c r="Z173" s="312"/>
      <c r="AA173" s="312"/>
      <c r="AB173" s="312"/>
      <c r="AC173" s="312"/>
      <c r="AD173" s="312"/>
      <c r="AE173" s="312"/>
      <c r="AF173" s="312"/>
      <c r="AG173" s="312"/>
    </row>
    <row r="174" spans="1:33" s="313" customFormat="1" x14ac:dyDescent="0.3">
      <c r="A174" s="305"/>
      <c r="B174" s="309"/>
      <c r="C174" s="334"/>
      <c r="D174" s="306"/>
      <c r="E174" s="306"/>
      <c r="F174" s="306"/>
      <c r="G174" s="306"/>
      <c r="H174" s="306"/>
      <c r="I174" s="306"/>
      <c r="J174" s="306"/>
      <c r="K174" s="314"/>
      <c r="L174" s="306"/>
      <c r="M174" s="325"/>
      <c r="N174" s="326"/>
      <c r="O174" s="290"/>
      <c r="P174" s="290"/>
      <c r="Q174" s="290"/>
      <c r="R174" s="290"/>
      <c r="S174" s="290"/>
      <c r="T174" s="290"/>
      <c r="U174" s="290"/>
      <c r="V174" s="312"/>
      <c r="W174" s="312"/>
      <c r="X174" s="312"/>
      <c r="Y174" s="312"/>
      <c r="Z174" s="312"/>
      <c r="AA174" s="312"/>
      <c r="AB174" s="312"/>
      <c r="AC174" s="312"/>
      <c r="AD174" s="312"/>
      <c r="AE174" s="312"/>
      <c r="AF174" s="312"/>
      <c r="AG174" s="312"/>
    </row>
    <row r="175" spans="1:33" s="313" customFormat="1" x14ac:dyDescent="0.3">
      <c r="A175" s="305"/>
      <c r="B175" s="309"/>
      <c r="C175" s="334"/>
      <c r="D175" s="306"/>
      <c r="E175" s="306"/>
      <c r="F175" s="306"/>
      <c r="G175" s="306"/>
      <c r="H175" s="306"/>
      <c r="I175" s="306"/>
      <c r="J175" s="306"/>
      <c r="K175" s="314"/>
      <c r="L175" s="306"/>
      <c r="M175" s="325"/>
      <c r="N175" s="326"/>
      <c r="O175" s="290"/>
      <c r="P175" s="290"/>
      <c r="Q175" s="290"/>
      <c r="R175" s="290"/>
      <c r="S175" s="290"/>
      <c r="T175" s="290"/>
      <c r="U175" s="290"/>
      <c r="V175" s="312"/>
      <c r="W175" s="312"/>
      <c r="X175" s="312"/>
      <c r="Y175" s="312"/>
      <c r="Z175" s="312"/>
      <c r="AA175" s="312"/>
      <c r="AB175" s="312"/>
      <c r="AC175" s="312"/>
      <c r="AD175" s="312"/>
      <c r="AE175" s="312"/>
      <c r="AF175" s="312"/>
      <c r="AG175" s="312"/>
    </row>
    <row r="176" spans="1:33" s="313" customFormat="1" x14ac:dyDescent="0.3">
      <c r="A176" s="305"/>
      <c r="B176" s="309"/>
      <c r="C176" s="334"/>
      <c r="D176" s="306"/>
      <c r="E176" s="306"/>
      <c r="F176" s="306"/>
      <c r="G176" s="306"/>
      <c r="H176" s="306"/>
      <c r="I176" s="306"/>
      <c r="J176" s="306"/>
      <c r="K176" s="314"/>
      <c r="L176" s="306"/>
      <c r="M176" s="325"/>
      <c r="N176" s="326"/>
      <c r="O176" s="290"/>
      <c r="P176" s="290"/>
      <c r="Q176" s="290"/>
      <c r="R176" s="290"/>
      <c r="S176" s="290"/>
      <c r="T176" s="290"/>
      <c r="U176" s="290"/>
      <c r="V176" s="312"/>
      <c r="W176" s="312"/>
      <c r="X176" s="312"/>
      <c r="Y176" s="312"/>
      <c r="Z176" s="312"/>
      <c r="AA176" s="312"/>
      <c r="AB176" s="312"/>
      <c r="AC176" s="312"/>
      <c r="AD176" s="312"/>
      <c r="AE176" s="312"/>
      <c r="AF176" s="312"/>
      <c r="AG176" s="312"/>
    </row>
    <row r="177" spans="1:33" s="313" customFormat="1" x14ac:dyDescent="0.3">
      <c r="A177" s="305"/>
      <c r="B177" s="309"/>
      <c r="C177" s="334"/>
      <c r="D177" s="306"/>
      <c r="E177" s="306"/>
      <c r="F177" s="306"/>
      <c r="G177" s="306"/>
      <c r="H177" s="306"/>
      <c r="I177" s="306"/>
      <c r="J177" s="306"/>
      <c r="K177" s="314"/>
      <c r="L177" s="306"/>
      <c r="M177" s="325"/>
      <c r="N177" s="326"/>
      <c r="O177" s="290"/>
      <c r="P177" s="290"/>
      <c r="Q177" s="290"/>
      <c r="R177" s="290"/>
      <c r="S177" s="290"/>
      <c r="T177" s="290"/>
      <c r="U177" s="290"/>
      <c r="V177" s="312"/>
      <c r="W177" s="312"/>
      <c r="X177" s="312"/>
      <c r="Y177" s="312"/>
      <c r="Z177" s="312"/>
      <c r="AA177" s="312"/>
      <c r="AB177" s="312"/>
      <c r="AC177" s="312"/>
      <c r="AD177" s="312"/>
      <c r="AE177" s="312"/>
      <c r="AF177" s="312"/>
      <c r="AG177" s="312"/>
    </row>
    <row r="178" spans="1:33" s="313" customFormat="1" x14ac:dyDescent="0.3">
      <c r="A178" s="305"/>
      <c r="B178" s="309"/>
      <c r="C178" s="334"/>
      <c r="D178" s="306"/>
      <c r="E178" s="306"/>
      <c r="F178" s="306"/>
      <c r="G178" s="306"/>
      <c r="H178" s="306"/>
      <c r="I178" s="306"/>
      <c r="J178" s="306"/>
      <c r="K178" s="314"/>
      <c r="L178" s="306"/>
      <c r="M178" s="325"/>
      <c r="N178" s="326"/>
      <c r="O178" s="290"/>
      <c r="P178" s="290"/>
      <c r="Q178" s="290"/>
      <c r="R178" s="290"/>
      <c r="S178" s="290"/>
      <c r="T178" s="290"/>
      <c r="U178" s="290"/>
      <c r="V178" s="312"/>
      <c r="W178" s="312"/>
      <c r="X178" s="312"/>
      <c r="Y178" s="312"/>
      <c r="Z178" s="312"/>
      <c r="AA178" s="312"/>
      <c r="AB178" s="312"/>
      <c r="AC178" s="312"/>
      <c r="AD178" s="312"/>
      <c r="AE178" s="312"/>
      <c r="AF178" s="312"/>
      <c r="AG178" s="312"/>
    </row>
    <row r="179" spans="1:33" s="376" customFormat="1" ht="18" x14ac:dyDescent="0.3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00"/>
      <c r="O179" s="290"/>
      <c r="P179" s="290"/>
      <c r="Q179" s="290"/>
      <c r="R179" s="290"/>
      <c r="S179" s="290"/>
      <c r="T179" s="290"/>
      <c r="U179" s="290"/>
      <c r="V179" s="291"/>
      <c r="W179" s="291"/>
      <c r="X179" s="291"/>
      <c r="Y179" s="291"/>
      <c r="Z179" s="291"/>
      <c r="AA179" s="291"/>
      <c r="AB179" s="291"/>
      <c r="AC179" s="291"/>
      <c r="AD179" s="291"/>
      <c r="AE179" s="291"/>
      <c r="AF179" s="291"/>
      <c r="AG179" s="291"/>
    </row>
    <row r="180" spans="1:33" s="376" customFormat="1" x14ac:dyDescent="0.3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77"/>
      <c r="O180" s="290"/>
      <c r="P180" s="290"/>
      <c r="Q180" s="290"/>
      <c r="R180" s="290"/>
      <c r="S180" s="290"/>
      <c r="T180" s="290"/>
      <c r="U180" s="290"/>
      <c r="V180" s="291"/>
      <c r="W180" s="291"/>
      <c r="X180" s="291"/>
      <c r="Y180" s="291"/>
      <c r="Z180" s="291"/>
      <c r="AA180" s="291"/>
      <c r="AB180" s="291"/>
      <c r="AC180" s="291"/>
      <c r="AD180" s="291"/>
      <c r="AE180" s="291"/>
      <c r="AF180" s="291"/>
      <c r="AG180" s="291"/>
    </row>
    <row r="181" spans="1:33" s="376" customFormat="1" ht="16.2" thickBot="1" x14ac:dyDescent="0.35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77"/>
      <c r="O181" s="290"/>
      <c r="P181" s="290"/>
      <c r="Q181" s="290"/>
      <c r="R181" s="290"/>
      <c r="S181" s="290"/>
      <c r="T181" s="290"/>
      <c r="U181" s="290"/>
      <c r="V181" s="291"/>
      <c r="W181" s="291"/>
      <c r="X181" s="291"/>
      <c r="Y181" s="291"/>
      <c r="Z181" s="291"/>
      <c r="AA181" s="291"/>
      <c r="AB181" s="291"/>
      <c r="AC181" s="291"/>
      <c r="AD181" s="291"/>
      <c r="AE181" s="291"/>
      <c r="AF181" s="291"/>
      <c r="AG181" s="291"/>
    </row>
    <row r="182" spans="1:33" s="376" customFormat="1" ht="30" thickBot="1" x14ac:dyDescent="0.35">
      <c r="A182" s="390"/>
      <c r="B182" s="391"/>
      <c r="C182" s="391"/>
      <c r="D182" s="391"/>
      <c r="E182" s="391"/>
      <c r="F182" s="391"/>
      <c r="G182" s="391"/>
      <c r="H182" s="391"/>
      <c r="I182" s="391"/>
      <c r="J182" s="391"/>
      <c r="K182" s="391"/>
      <c r="L182" s="391"/>
      <c r="M182" s="392"/>
      <c r="N182" s="377"/>
      <c r="O182" s="290"/>
      <c r="P182" s="290"/>
      <c r="Q182" s="290"/>
      <c r="R182" s="290"/>
      <c r="S182" s="290"/>
      <c r="T182" s="290"/>
      <c r="U182" s="290"/>
      <c r="V182" s="291"/>
      <c r="W182" s="291"/>
      <c r="X182" s="291"/>
      <c r="Y182" s="291"/>
      <c r="Z182" s="291"/>
      <c r="AA182" s="291"/>
      <c r="AB182" s="291"/>
      <c r="AC182" s="291"/>
      <c r="AD182" s="291"/>
      <c r="AE182" s="291"/>
      <c r="AF182" s="291"/>
      <c r="AG182" s="291"/>
    </row>
  </sheetData>
  <dataConsolidate link="1"/>
  <mergeCells count="45">
    <mergeCell ref="S129:T129"/>
    <mergeCell ref="S106:T106"/>
    <mergeCell ref="J54:K55"/>
    <mergeCell ref="J51:K52"/>
    <mergeCell ref="J57:K58"/>
    <mergeCell ref="J60:K61"/>
    <mergeCell ref="J63:K64"/>
    <mergeCell ref="J74:K75"/>
    <mergeCell ref="J77:K78"/>
    <mergeCell ref="J80:K81"/>
    <mergeCell ref="J83:K84"/>
    <mergeCell ref="J86:K87"/>
    <mergeCell ref="A68:M68"/>
    <mergeCell ref="A99:M99"/>
    <mergeCell ref="O155:P155"/>
    <mergeCell ref="O106:P106"/>
    <mergeCell ref="O129:P129"/>
    <mergeCell ref="J130:K131"/>
    <mergeCell ref="J133:K134"/>
    <mergeCell ref="J136:K137"/>
    <mergeCell ref="J112:K113"/>
    <mergeCell ref="S49:T49"/>
    <mergeCell ref="O49:P49"/>
    <mergeCell ref="J32:K33"/>
    <mergeCell ref="J35:K36"/>
    <mergeCell ref="J38:K39"/>
    <mergeCell ref="S33:T33"/>
    <mergeCell ref="S38:T38"/>
    <mergeCell ref="A44:M44"/>
    <mergeCell ref="L1:M1"/>
    <mergeCell ref="L3:M3"/>
    <mergeCell ref="A23:M23"/>
    <mergeCell ref="J29:K30"/>
    <mergeCell ref="A5:M5"/>
    <mergeCell ref="L4:M4"/>
    <mergeCell ref="J164:K165"/>
    <mergeCell ref="J109:K110"/>
    <mergeCell ref="J106:K107"/>
    <mergeCell ref="A182:M182"/>
    <mergeCell ref="J155:K156"/>
    <mergeCell ref="J158:K159"/>
    <mergeCell ref="J161:K162"/>
    <mergeCell ref="J167:K168"/>
    <mergeCell ref="A123:M123"/>
    <mergeCell ref="A148:M148"/>
  </mergeCells>
  <conditionalFormatting sqref="J29:K30 J32:K33 J35:K36 J38:K39">
    <cfRule type="containsBlanks" dxfId="15" priority="16">
      <formula>LEN(TRIM(J29))=0</formula>
    </cfRule>
  </conditionalFormatting>
  <conditionalFormatting sqref="J51:K52">
    <cfRule type="cellIs" dxfId="14" priority="12" operator="between">
      <formula>0</formula>
      <formula>1</formula>
    </cfRule>
  </conditionalFormatting>
  <conditionalFormatting sqref="J54:K55 J57:K58">
    <cfRule type="containsBlanks" dxfId="13" priority="15">
      <formula>LEN(TRIM(J54))=0</formula>
    </cfRule>
  </conditionalFormatting>
  <conditionalFormatting sqref="J60:K61">
    <cfRule type="containsBlanks" dxfId="12" priority="14">
      <formula>LEN(TRIM(J60))=0</formula>
    </cfRule>
  </conditionalFormatting>
  <conditionalFormatting sqref="J63:K64">
    <cfRule type="containsErrors" dxfId="11" priority="17">
      <formula>ISERROR(J63)</formula>
    </cfRule>
  </conditionalFormatting>
  <conditionalFormatting sqref="J74:K75">
    <cfRule type="cellIs" dxfId="10" priority="10" operator="between">
      <formula>0</formula>
      <formula>1</formula>
    </cfRule>
  </conditionalFormatting>
  <conditionalFormatting sqref="J77:K78">
    <cfRule type="cellIs" dxfId="9" priority="9" operator="between">
      <formula>0</formula>
      <formula>1</formula>
    </cfRule>
  </conditionalFormatting>
  <conditionalFormatting sqref="J80:K81">
    <cfRule type="cellIs" dxfId="8" priority="8" operator="between">
      <formula>0</formula>
      <formula>1</formula>
    </cfRule>
  </conditionalFormatting>
  <conditionalFormatting sqref="J83:K84 J86:K87">
    <cfRule type="containsBlanks" dxfId="7" priority="11">
      <formula>LEN(TRIM(J83))=0</formula>
    </cfRule>
  </conditionalFormatting>
  <conditionalFormatting sqref="J106:K107 J109:K110 J112:K113">
    <cfRule type="cellIs" dxfId="6" priority="7" operator="between">
      <formula>0</formula>
      <formula>0.9</formula>
    </cfRule>
  </conditionalFormatting>
  <conditionalFormatting sqref="J130:K131 J133:K134">
    <cfRule type="cellIs" dxfId="5" priority="6" operator="between">
      <formula>0</formula>
      <formula>1</formula>
    </cfRule>
  </conditionalFormatting>
  <conditionalFormatting sqref="J136:K137">
    <cfRule type="containsErrors" dxfId="4" priority="18">
      <formula>ISERROR(J136)</formula>
    </cfRule>
  </conditionalFormatting>
  <conditionalFormatting sqref="J155:K156 J158:K159 J164:K165 J167:K168">
    <cfRule type="cellIs" dxfId="3" priority="4" operator="between">
      <formula>0</formula>
      <formula>1</formula>
    </cfRule>
    <cfRule type="containsErrors" dxfId="2" priority="19">
      <formula>ISERROR(J155)</formula>
    </cfRule>
  </conditionalFormatting>
  <conditionalFormatting sqref="J161:K162">
    <cfRule type="cellIs" dxfId="1" priority="2" operator="between">
      <formula>0</formula>
      <formula>1</formula>
    </cfRule>
    <cfRule type="containsErrors" dxfId="0" priority="20">
      <formula>ISERROR(J161)</formula>
    </cfRule>
  </conditionalFormatting>
  <dataValidations count="6">
    <dataValidation type="list" showInputMessage="1" showErrorMessage="1" sqref="J29 J35" xr:uid="{036789AC-3D9C-425B-A339-9DD199065DB1}">
      <formula1>SUCURSALES</formula1>
    </dataValidation>
    <dataValidation type="list" showInputMessage="1" showErrorMessage="1" sqref="J32" xr:uid="{3ABCAF68-2423-4DBD-8545-0057A84E484C}">
      <formula1>PROVEEDORES</formula1>
    </dataValidation>
    <dataValidation type="list" allowBlank="1" showInputMessage="1" showErrorMessage="1" sqref="I133 I158" xr:uid="{DD985064-B640-4D37-9F63-1072FB08948C}">
      <formula1>INDIRECT($I$51)</formula1>
    </dataValidation>
    <dataValidation type="list" allowBlank="1" showInputMessage="1" showErrorMessage="1" sqref="J83" xr:uid="{C471BDEC-A510-40D3-82F3-7DD6957E38E8}">
      <formula1>RANGOPESO</formula1>
    </dataValidation>
    <dataValidation type="list" allowBlank="1" showInputMessage="1" showErrorMessage="1" sqref="J38:K39" xr:uid="{E40D0AB2-8089-4B05-9390-62204507115A}">
      <formula1>INDIRECT($J$35)</formula1>
    </dataValidation>
    <dataValidation type="list" allowBlank="1" showInputMessage="1" showErrorMessage="1" sqref="J54:K55" xr:uid="{047A3F07-CEBE-40E0-9F84-BF91D736FA27}">
      <formula1>INDIRECT($J$51)</formula1>
    </dataValidation>
  </dataValidations>
  <printOptions horizontalCentered="1"/>
  <pageMargins left="0" right="0" top="0" bottom="0" header="0.31496062992125984" footer="0.31496062992125984"/>
  <pageSetup scale="6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E43CC3-E8D7-48FA-AA62-6D83731B5B66}">
          <x14:formula1>
            <xm:f>'Fraccion Arancelaria'!$B$6:$B$7</xm:f>
          </x14:formula1>
          <xm:sqref>J60 I164 I167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CAF5-AF46-4F32-86D8-5FFFA93E31CB}">
  <sheetPr codeName="Hoja8"/>
  <dimension ref="B4:C19"/>
  <sheetViews>
    <sheetView workbookViewId="0">
      <selection activeCell="L4" sqref="L4:L6"/>
    </sheetView>
  </sheetViews>
  <sheetFormatPr baseColWidth="10" defaultRowHeight="14.4" x14ac:dyDescent="0.3"/>
  <cols>
    <col min="2" max="2" width="7.6640625" bestFit="1" customWidth="1"/>
  </cols>
  <sheetData>
    <row r="4" spans="2:3" x14ac:dyDescent="0.3">
      <c r="B4" t="s">
        <v>141</v>
      </c>
    </row>
    <row r="5" spans="2:3" x14ac:dyDescent="0.3">
      <c r="B5" s="8">
        <v>1</v>
      </c>
      <c r="C5" t="s">
        <v>142</v>
      </c>
    </row>
    <row r="6" spans="2:3" x14ac:dyDescent="0.3">
      <c r="B6" s="8">
        <v>2</v>
      </c>
      <c r="C6" t="s">
        <v>143</v>
      </c>
    </row>
    <row r="7" spans="2:3" x14ac:dyDescent="0.3">
      <c r="B7" s="8">
        <v>3</v>
      </c>
      <c r="C7" t="s">
        <v>221</v>
      </c>
    </row>
    <row r="8" spans="2:3" x14ac:dyDescent="0.3">
      <c r="B8" s="8">
        <v>4</v>
      </c>
    </row>
    <row r="9" spans="2:3" x14ac:dyDescent="0.3">
      <c r="B9" s="8">
        <v>5</v>
      </c>
    </row>
    <row r="10" spans="2:3" x14ac:dyDescent="0.3">
      <c r="B10" s="8">
        <v>6</v>
      </c>
    </row>
    <row r="11" spans="2:3" x14ac:dyDescent="0.3">
      <c r="B11" s="8">
        <v>7</v>
      </c>
    </row>
    <row r="12" spans="2:3" x14ac:dyDescent="0.3">
      <c r="B12" s="8">
        <v>8</v>
      </c>
    </row>
    <row r="13" spans="2:3" x14ac:dyDescent="0.3">
      <c r="B13" s="8">
        <v>9</v>
      </c>
    </row>
    <row r="14" spans="2:3" x14ac:dyDescent="0.3">
      <c r="B14" s="8">
        <v>10</v>
      </c>
    </row>
    <row r="15" spans="2:3" x14ac:dyDescent="0.3">
      <c r="B15" s="8">
        <v>11</v>
      </c>
    </row>
    <row r="16" spans="2:3" x14ac:dyDescent="0.3">
      <c r="B16" s="8">
        <v>12</v>
      </c>
    </row>
    <row r="17" spans="2:2" x14ac:dyDescent="0.3">
      <c r="B17" s="8">
        <v>13</v>
      </c>
    </row>
    <row r="18" spans="2:2" x14ac:dyDescent="0.3">
      <c r="B18" s="8">
        <v>14</v>
      </c>
    </row>
    <row r="19" spans="2:2" x14ac:dyDescent="0.3">
      <c r="B19" s="8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91BCD-93DF-4095-8501-534E29EE96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26</vt:i4>
      </vt:variant>
    </vt:vector>
  </HeadingPairs>
  <TitlesOfParts>
    <vt:vector size="34" baseType="lpstr">
      <vt:lpstr>Proveedor, Mercancia</vt:lpstr>
      <vt:lpstr>Fraccion Arancelaria</vt:lpstr>
      <vt:lpstr>Bodega, Recinto, A.A.</vt:lpstr>
      <vt:lpstr>Sucursal, Aduana, Proveedor</vt:lpstr>
      <vt:lpstr>Fletes Impo</vt:lpstr>
      <vt:lpstr>Fletes Proveedor</vt:lpstr>
      <vt:lpstr>GUIALOG</vt:lpstr>
      <vt:lpstr>NOTAS</vt:lpstr>
      <vt:lpstr>ADUANAS</vt:lpstr>
      <vt:lpstr>AEREA</vt:lpstr>
      <vt:lpstr>GUIALOG!Área_de_impresión</vt:lpstr>
      <vt:lpstr>CDMX</vt:lpstr>
      <vt:lpstr>CHIHUAHUA</vt:lpstr>
      <vt:lpstr>CLASEADUANA</vt:lpstr>
      <vt:lpstr>DORNER</vt:lpstr>
      <vt:lpstr>FRONTERIZA</vt:lpstr>
      <vt:lpstr>HERMOSILLO</vt:lpstr>
      <vt:lpstr>HYTROL</vt:lpstr>
      <vt:lpstr>INTECHMOTION</vt:lpstr>
      <vt:lpstr>JUAREZ</vt:lpstr>
      <vt:lpstr>MARITIMA</vt:lpstr>
      <vt:lpstr>MEXICALI</vt:lpstr>
      <vt:lpstr>MIR</vt:lpstr>
      <vt:lpstr>MONTERREY</vt:lpstr>
      <vt:lpstr>NOGALES</vt:lpstr>
      <vt:lpstr>PROVEEDORES</vt:lpstr>
      <vt:lpstr>PUEBLA</vt:lpstr>
      <vt:lpstr>RANGOPESO</vt:lpstr>
      <vt:lpstr>SALTILLO</vt:lpstr>
      <vt:lpstr>SOUTHWORTH</vt:lpstr>
      <vt:lpstr>SUCURSALES</vt:lpstr>
      <vt:lpstr>TIJUANA</vt:lpstr>
      <vt:lpstr>TORREON</vt:lpstr>
      <vt:lpstr>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balderrama</dc:creator>
  <cp:lastModifiedBy>Samuel Balderrama Escapite</cp:lastModifiedBy>
  <dcterms:created xsi:type="dcterms:W3CDTF">2023-08-04T15:51:26Z</dcterms:created>
  <dcterms:modified xsi:type="dcterms:W3CDTF">2026-02-26T16:20:06Z</dcterms:modified>
</cp:coreProperties>
</file>